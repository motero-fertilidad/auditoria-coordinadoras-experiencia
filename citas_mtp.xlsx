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<sst xmlns="http://schemas.openxmlformats.org/spreadsheetml/2006/main" count="638" uniqueCount="124">
  <si>
    <t>Ale.</t>
  </si>
  <si>
    <t>Fecha</t>
  </si>
  <si>
    <t>Hora</t>
  </si>
  <si>
    <t>H. Fin</t>
  </si>
  <si>
    <t>S. Espe.</t>
  </si>
  <si>
    <t>H. Term.</t>
  </si>
  <si>
    <t>NHC</t>
  </si>
  <si>
    <t>Apellidos, Nombre</t>
  </si>
  <si>
    <t>Sala</t>
  </si>
  <si>
    <t>Estado</t>
  </si>
  <si>
    <t>Teléfono</t>
  </si>
  <si>
    <t>Concepto</t>
  </si>
  <si>
    <t>Grupo de conceptos</t>
  </si>
  <si>
    <t>Obs.</t>
  </si>
  <si>
    <t>Ord. Fact</t>
  </si>
  <si>
    <t>Saldo</t>
  </si>
  <si>
    <t>Saldo pareja</t>
  </si>
  <si>
    <t>Profesional</t>
  </si>
  <si>
    <t>Profesional Historia</t>
  </si>
  <si>
    <t>Entidad (Colectivo)</t>
  </si>
  <si>
    <t>Espera</t>
  </si>
  <si>
    <t>Consulta</t>
  </si>
  <si>
    <t>Total</t>
  </si>
  <si>
    <t>Usuario Crea</t>
  </si>
  <si>
    <t>Procedencia</t>
  </si>
  <si>
    <t>País</t>
  </si>
  <si>
    <t>Nº Cargos</t>
  </si>
  <si>
    <t>Facturables</t>
  </si>
  <si>
    <t>Facturado</t>
  </si>
  <si>
    <t>H. Consulta</t>
  </si>
  <si>
    <t>Delegación</t>
  </si>
  <si>
    <t>Ramírez Ruiz, Jorge</t>
  </si>
  <si>
    <t>Consultorio 1</t>
  </si>
  <si>
    <t>Terminada</t>
  </si>
  <si>
    <t>Plática de resultados (15)</t>
  </si>
  <si>
    <t>Seguimiento</t>
  </si>
  <si>
    <t>Guadalupe Nolazco Beltrán</t>
  </si>
  <si>
    <t>CDMX</t>
  </si>
  <si>
    <t>BAOA991226SR3 (VR-FI Alondra Bautista)</t>
  </si>
  <si>
    <t>Mexico</t>
  </si>
  <si>
    <t>FERTILIDAD INTEGRAL Metepec</t>
  </si>
  <si>
    <t>López de la Horta, Jazmin</t>
  </si>
  <si>
    <t>Toma de sangre</t>
  </si>
  <si>
    <t>Laboratorio</t>
  </si>
  <si>
    <t>Paquete estudios diagnósticos</t>
  </si>
  <si>
    <t>Enfermeria</t>
  </si>
  <si>
    <t>Toma de cultivos</t>
  </si>
  <si>
    <t>Consultorio</t>
  </si>
  <si>
    <t>Garcia Feliciano, Diana Laura</t>
  </si>
  <si>
    <t>Plática de resultados (30)</t>
  </si>
  <si>
    <t>| Sales Team Booked</t>
  </si>
  <si>
    <t>()</t>
  </si>
  <si>
    <t>Gonzalez Cardenas, Kessia Desire</t>
  </si>
  <si>
    <t>Revisión post tratamiento</t>
  </si>
  <si>
    <t>| Self-Booked</t>
  </si>
  <si>
    <t>Sesión de Masaje Incluída</t>
  </si>
  <si>
    <t>Wellness</t>
  </si>
  <si>
    <t>Karla Jimenez</t>
  </si>
  <si>
    <t>Fraile Guido, Abigail</t>
  </si>
  <si>
    <t>Inicio de tratamiento</t>
  </si>
  <si>
    <t>Vazquez Ceballos, Teresa de Jesus</t>
  </si>
  <si>
    <t>Diaz Conde, Juana</t>
  </si>
  <si>
    <t>Ultrasonido incluido</t>
  </si>
  <si>
    <t>1er USG gestacional</t>
  </si>
  <si>
    <t>Contreras Rodriguez, Sheila Jezabel</t>
  </si>
  <si>
    <t>Lopez Maldonado, Ariadne Sulidey</t>
  </si>
  <si>
    <t>Moreno Duran, Karen</t>
  </si>
  <si>
    <t>Fertility Check up Mujeres</t>
  </si>
  <si>
    <t>Primera Vez</t>
  </si>
  <si>
    <t>Check up fertilidad mujer
Pagó anticipo del 30%
Cobrar $1,540</t>
  </si>
  <si>
    <t>Beta</t>
  </si>
  <si>
    <t>Estrada Arce, Carla Lizeth</t>
  </si>
  <si>
    <t>Paquete estudios diagnóstico</t>
  </si>
  <si>
    <t>Carreño Nava, Victor Alonso</t>
  </si>
  <si>
    <t>Espermatobioscopía (ED)</t>
  </si>
  <si>
    <t>Laboratorio FIV/Andrología</t>
  </si>
  <si>
    <t>GARY940503GV1 (VR-FI Yanelli García)</t>
  </si>
  <si>
    <t>Uribe de la Orta, Evelyn Yisel</t>
  </si>
  <si>
    <t>Ultrasonido</t>
  </si>
  <si>
    <t>Jimenez Salas, Monica Berenice</t>
  </si>
  <si>
    <t>Plática de resultados incluída</t>
  </si>
  <si>
    <t>Paulin Martinez, Paulina</t>
  </si>
  <si>
    <t>Sánchez Arredondo, Melanny Karolina</t>
  </si>
  <si>
    <t>Muciño Gutierrez, Gisel</t>
  </si>
  <si>
    <t>Cruz Arango, Vanessa Monserrat</t>
  </si>
  <si>
    <t>Fertility Check up Parejas</t>
  </si>
  <si>
    <t>CHECK UP DE FERTILIDAD EN PAREJA ED + HAM + CONSULTA  $ 3500 COBRAR EN RECEPCIÓN 1750</t>
  </si>
  <si>
    <t>Pre transfer</t>
  </si>
  <si>
    <t xml:space="preserve">Inicia preparación endometrial
</t>
  </si>
  <si>
    <t>Vergara Sierra, Saúl Alberto</t>
  </si>
  <si>
    <t>ED INCLUIDA EN CONSULTA DE PAREJA</t>
  </si>
  <si>
    <t>Tomar HAM</t>
  </si>
  <si>
    <t>Vallejo Ulloa, Zulima</t>
  </si>
  <si>
    <t>Consulta primera vez</t>
  </si>
  <si>
    <t>Cita Fertilidad | Motivo de cita: IN - | Dra. Guadalupe Nolazco | Código de referido-descuento: | Self-Booked</t>
  </si>
  <si>
    <t>Maven</t>
  </si>
  <si>
    <t>Gregorio Salinas, Norma Elizeth</t>
  </si>
  <si>
    <t>consulta basica cobrar $1,050</t>
  </si>
  <si>
    <t>Garcia Garcia, Brenda</t>
  </si>
  <si>
    <t>722 405 2689</t>
  </si>
  <si>
    <t>Rios Vazquez, Elizabeth</t>
  </si>
  <si>
    <t>Consultorio 2</t>
  </si>
  <si>
    <t>Consulta de nutrición incluida</t>
  </si>
  <si>
    <t>Amparo Espinoza</t>
  </si>
  <si>
    <t>Seguimiento folicular</t>
  </si>
  <si>
    <t>Berna Pichardo, Jonathan Javier</t>
  </si>
  <si>
    <t>Muestras pre transferencia</t>
  </si>
  <si>
    <t>Glucosa, insulina y TSH</t>
  </si>
  <si>
    <t>Villanueva Ramirez, Luis Andres</t>
  </si>
  <si>
    <t>Sesión de Acupuntura Incluída</t>
  </si>
  <si>
    <t>Sanabria Flores, Daysi</t>
  </si>
  <si>
    <t>P</t>
  </si>
  <si>
    <t>IN-GNB-72	Primera consulta gratis + 20% de descuento en paquetes</t>
  </si>
  <si>
    <t>Serologias y pre captura</t>
  </si>
  <si>
    <t>Tello Tirado, Lidia Anette</t>
  </si>
  <si>
    <t>Check up Ginecologico</t>
  </si>
  <si>
    <t>| Sales Team Booked Promoción mes de Mayo</t>
  </si>
  <si>
    <t>Arredondo Ontiveros, Karla Guadalupe</t>
  </si>
  <si>
    <t>Consulta ginecológica</t>
  </si>
  <si>
    <t>Cobrar $2,000 en recepción</t>
  </si>
  <si>
    <t>Emeterio Gómez, Jessica Nayeli</t>
  </si>
  <si>
    <t>González Arista, Miguel Ángel</t>
  </si>
  <si>
    <t>Serologías</t>
  </si>
  <si>
    <t>Peñaloza Cuellar, Fatima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</si>
</sst>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h:mm am/pm"/>
    <numFmt numFmtId="166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>
      <c r="B2" s="2">
        <v>46198.0</v>
      </c>
      <c r="C2" s="3">
        <v>0.3333333333333333</v>
      </c>
      <c r="D2" s="3">
        <v>0.34375</v>
      </c>
      <c r="E2" s="3">
        <v>0.3333333333333333</v>
      </c>
      <c r="F2" s="3">
        <v>0.36180555555555555</v>
      </c>
      <c r="H2" s="1" t="s">
        <v>31</v>
      </c>
      <c r="I2" s="1" t="s">
        <v>32</v>
      </c>
      <c r="J2" s="1" t="s">
        <v>33</v>
      </c>
      <c r="K2" s="1">
        <v>2.213282391E9</v>
      </c>
      <c r="L2" s="1" t="s">
        <v>34</v>
      </c>
      <c r="M2" s="1" t="s">
        <v>35</v>
      </c>
      <c r="P2" s="1">
        <v>0.0</v>
      </c>
      <c r="Q2" s="1">
        <v>0.0</v>
      </c>
      <c r="R2" s="1" t="s">
        <v>36</v>
      </c>
      <c r="S2" s="1" t="s">
        <v>36</v>
      </c>
      <c r="U2" s="1" t="s">
        <v>37</v>
      </c>
      <c r="V2" s="1">
        <v>3.0</v>
      </c>
      <c r="W2" s="1">
        <v>38.0</v>
      </c>
      <c r="X2" s="1">
        <v>41.0</v>
      </c>
      <c r="Y2" s="1" t="s">
        <v>38</v>
      </c>
      <c r="AA2" s="1" t="s">
        <v>39</v>
      </c>
      <c r="AB2" s="1">
        <v>0.0</v>
      </c>
      <c r="AC2" s="1">
        <v>0.0</v>
      </c>
      <c r="AD2" s="1">
        <v>0.0</v>
      </c>
      <c r="AE2" s="4">
        <v>0.33541666666666664</v>
      </c>
      <c r="AF2" s="1" t="s">
        <v>40</v>
      </c>
    </row>
    <row r="3">
      <c r="B3" s="2">
        <v>46198.0</v>
      </c>
      <c r="C3" s="3">
        <v>0.3541666666666667</v>
      </c>
      <c r="D3" s="3">
        <v>0.3611111111111111</v>
      </c>
      <c r="E3" s="3">
        <v>0.35208333333333336</v>
      </c>
      <c r="F3" s="3">
        <v>0.3736111111111111</v>
      </c>
      <c r="H3" s="1" t="s">
        <v>41</v>
      </c>
      <c r="J3" s="1" t="s">
        <v>33</v>
      </c>
      <c r="K3" s="1">
        <v>2.4631452E7</v>
      </c>
      <c r="L3" s="1" t="s">
        <v>42</v>
      </c>
      <c r="M3" s="1" t="s">
        <v>43</v>
      </c>
      <c r="N3" s="1" t="s">
        <v>44</v>
      </c>
      <c r="P3" s="1">
        <v>0.0</v>
      </c>
      <c r="Q3" s="1">
        <v>0.0</v>
      </c>
      <c r="R3" s="1" t="s">
        <v>45</v>
      </c>
      <c r="S3" s="1" t="s">
        <v>36</v>
      </c>
      <c r="U3" s="1" t="s">
        <v>37</v>
      </c>
      <c r="V3" s="1">
        <v>14.0</v>
      </c>
      <c r="W3" s="1">
        <v>17.0</v>
      </c>
      <c r="X3" s="1">
        <v>31.0</v>
      </c>
      <c r="Y3" s="1" t="s">
        <v>38</v>
      </c>
      <c r="AA3" s="1" t="s">
        <v>39</v>
      </c>
      <c r="AB3" s="1">
        <v>0.0</v>
      </c>
      <c r="AC3" s="1">
        <v>0.0</v>
      </c>
      <c r="AD3" s="1">
        <v>0.0</v>
      </c>
      <c r="AE3" s="4">
        <v>0.36180555555555555</v>
      </c>
      <c r="AF3" s="1" t="s">
        <v>40</v>
      </c>
    </row>
    <row r="4">
      <c r="B4" s="2">
        <v>46198.0</v>
      </c>
      <c r="C4" s="3">
        <v>0.3541666666666667</v>
      </c>
      <c r="D4" s="3">
        <v>0.3680555555555556</v>
      </c>
      <c r="E4" s="3">
        <v>0.3527777777777778</v>
      </c>
      <c r="F4" s="3">
        <v>0.3736111111111111</v>
      </c>
      <c r="H4" s="1" t="s">
        <v>41</v>
      </c>
      <c r="J4" s="1" t="s">
        <v>33</v>
      </c>
      <c r="K4" s="1">
        <v>2.4631452E7</v>
      </c>
      <c r="L4" s="1" t="s">
        <v>46</v>
      </c>
      <c r="M4" s="1" t="s">
        <v>47</v>
      </c>
      <c r="P4" s="1">
        <v>0.0</v>
      </c>
      <c r="Q4" s="1">
        <v>0.0</v>
      </c>
      <c r="R4" s="1" t="s">
        <v>36</v>
      </c>
      <c r="S4" s="1" t="s">
        <v>36</v>
      </c>
      <c r="U4" s="1" t="s">
        <v>37</v>
      </c>
      <c r="V4" s="1">
        <v>13.0</v>
      </c>
      <c r="W4" s="1">
        <v>17.0</v>
      </c>
      <c r="X4" s="1">
        <v>30.0</v>
      </c>
      <c r="Y4" s="1" t="s">
        <v>38</v>
      </c>
      <c r="AA4" s="1" t="s">
        <v>39</v>
      </c>
      <c r="AB4" s="1">
        <v>0.0</v>
      </c>
      <c r="AC4" s="1">
        <v>0.0</v>
      </c>
      <c r="AD4" s="1">
        <v>0.0</v>
      </c>
      <c r="AE4" s="4">
        <v>0.36180555555555555</v>
      </c>
      <c r="AF4" s="1" t="s">
        <v>40</v>
      </c>
    </row>
    <row r="5">
      <c r="B5" s="2">
        <v>46198.0</v>
      </c>
      <c r="C5" s="3">
        <v>0.4166666666666667</v>
      </c>
      <c r="D5" s="3">
        <v>0.4375</v>
      </c>
      <c r="E5" s="3">
        <v>0.4166666666666667</v>
      </c>
      <c r="F5" s="3">
        <v>0.47847222222222224</v>
      </c>
      <c r="G5" s="1">
        <v>2.0364885844E11</v>
      </c>
      <c r="H5" s="1" t="s">
        <v>48</v>
      </c>
      <c r="J5" s="1" t="s">
        <v>33</v>
      </c>
      <c r="K5" s="5">
        <f>+527221044199</f>
        <v>527221044199</v>
      </c>
      <c r="L5" s="1" t="s">
        <v>49</v>
      </c>
      <c r="M5" s="1" t="s">
        <v>35</v>
      </c>
      <c r="N5" s="1" t="s">
        <v>50</v>
      </c>
      <c r="P5" s="1">
        <v>0.0</v>
      </c>
      <c r="Q5" s="1">
        <v>0.0</v>
      </c>
      <c r="R5" s="1" t="s">
        <v>36</v>
      </c>
      <c r="S5" s="1" t="s">
        <v>36</v>
      </c>
      <c r="U5" s="1" t="s">
        <v>37</v>
      </c>
      <c r="V5" s="1">
        <v>8.0</v>
      </c>
      <c r="W5" s="1">
        <v>81.0</v>
      </c>
      <c r="X5" s="1">
        <v>89.0</v>
      </c>
      <c r="Y5" s="1" t="s">
        <v>51</v>
      </c>
      <c r="AA5" s="1" t="s">
        <v>39</v>
      </c>
      <c r="AB5" s="1">
        <v>0.0</v>
      </c>
      <c r="AC5" s="1">
        <v>0.0</v>
      </c>
      <c r="AD5" s="1">
        <v>0.0</v>
      </c>
      <c r="AE5" s="4">
        <v>0.4222222222222222</v>
      </c>
      <c r="AF5" s="1" t="s">
        <v>40</v>
      </c>
    </row>
    <row r="6">
      <c r="B6" s="2">
        <v>46198.0</v>
      </c>
      <c r="C6" s="3">
        <v>0.3333333333333333</v>
      </c>
      <c r="D6" s="3">
        <v>0.3472222222222222</v>
      </c>
      <c r="E6" s="3">
        <v>0.3333333333333333</v>
      </c>
      <c r="F6" s="3">
        <v>0.3701388888888889</v>
      </c>
      <c r="G6" s="1">
        <v>1.82211805994E11</v>
      </c>
      <c r="H6" s="1" t="s">
        <v>52</v>
      </c>
      <c r="J6" s="1" t="s">
        <v>33</v>
      </c>
      <c r="K6" s="5">
        <f t="shared" ref="K6:K7" si="1">+525537571104</f>
        <v>525537571104</v>
      </c>
      <c r="L6" s="1" t="s">
        <v>53</v>
      </c>
      <c r="M6" s="1" t="s">
        <v>35</v>
      </c>
      <c r="N6" s="1" t="s">
        <v>54</v>
      </c>
      <c r="P6" s="1">
        <v>0.0</v>
      </c>
      <c r="Q6" s="1">
        <v>0.0</v>
      </c>
      <c r="R6" s="1" t="s">
        <v>36</v>
      </c>
      <c r="S6" s="1" t="s">
        <v>36</v>
      </c>
      <c r="U6" s="1" t="s">
        <v>37</v>
      </c>
      <c r="V6" s="1">
        <v>39.0</v>
      </c>
      <c r="W6" s="1">
        <v>14.0</v>
      </c>
      <c r="X6" s="1">
        <v>53.0</v>
      </c>
      <c r="Y6" s="1" t="s">
        <v>51</v>
      </c>
      <c r="AA6" s="1" t="s">
        <v>39</v>
      </c>
      <c r="AB6" s="1">
        <v>0.0</v>
      </c>
      <c r="AC6" s="1">
        <v>0.0</v>
      </c>
      <c r="AD6" s="1">
        <v>0.0</v>
      </c>
      <c r="AE6" s="4">
        <v>0.36041666666666666</v>
      </c>
      <c r="AF6" s="1" t="s">
        <v>40</v>
      </c>
    </row>
    <row r="7">
      <c r="B7" s="2">
        <v>46198.0</v>
      </c>
      <c r="C7" s="3">
        <v>0.3541666666666667</v>
      </c>
      <c r="D7" s="3">
        <v>0.3958333333333333</v>
      </c>
      <c r="E7" s="3">
        <v>0.3541666666666667</v>
      </c>
      <c r="F7" s="3">
        <v>0.40069444444444446</v>
      </c>
      <c r="G7" s="1">
        <v>1.82211805994E11</v>
      </c>
      <c r="H7" s="1" t="s">
        <v>52</v>
      </c>
      <c r="J7" s="1" t="s">
        <v>33</v>
      </c>
      <c r="K7" s="5">
        <f t="shared" si="1"/>
        <v>525537571104</v>
      </c>
      <c r="L7" s="1" t="s">
        <v>55</v>
      </c>
      <c r="M7" s="1" t="s">
        <v>56</v>
      </c>
      <c r="N7" s="1" t="s">
        <v>54</v>
      </c>
      <c r="P7" s="1">
        <v>0.0</v>
      </c>
      <c r="Q7" s="1">
        <v>0.0</v>
      </c>
      <c r="R7" s="1" t="s">
        <v>57</v>
      </c>
      <c r="S7" s="1" t="s">
        <v>36</v>
      </c>
      <c r="U7" s="1" t="s">
        <v>37</v>
      </c>
      <c r="V7" s="1">
        <v>15.0</v>
      </c>
      <c r="W7" s="1">
        <v>52.0</v>
      </c>
      <c r="X7" s="1">
        <v>67.0</v>
      </c>
      <c r="Y7" s="1" t="s">
        <v>51</v>
      </c>
      <c r="AA7" s="1" t="s">
        <v>39</v>
      </c>
      <c r="AB7" s="1">
        <v>0.0</v>
      </c>
      <c r="AC7" s="1">
        <v>0.0</v>
      </c>
      <c r="AD7" s="1">
        <v>0.0</v>
      </c>
      <c r="AE7" s="4">
        <v>0.3645833333333333</v>
      </c>
      <c r="AF7" s="1" t="s">
        <v>40</v>
      </c>
    </row>
    <row r="8">
      <c r="B8" s="2">
        <v>46198.0</v>
      </c>
      <c r="C8" s="3">
        <v>0.625</v>
      </c>
      <c r="D8" s="3">
        <v>0.6666666666666666</v>
      </c>
      <c r="E8" s="3">
        <v>0.625</v>
      </c>
      <c r="F8" s="3">
        <v>0.6416666666666667</v>
      </c>
      <c r="G8" s="1">
        <v>2.21247490855E11</v>
      </c>
      <c r="H8" s="1" t="s">
        <v>58</v>
      </c>
      <c r="J8" s="1" t="s">
        <v>33</v>
      </c>
      <c r="K8" s="1">
        <v>5.551976712E9</v>
      </c>
      <c r="L8" s="1" t="s">
        <v>59</v>
      </c>
      <c r="M8" s="1" t="s">
        <v>35</v>
      </c>
      <c r="N8" s="1" t="s">
        <v>50</v>
      </c>
      <c r="P8" s="1">
        <v>0.0</v>
      </c>
      <c r="Q8" s="1">
        <v>0.0</v>
      </c>
      <c r="R8" s="1" t="s">
        <v>36</v>
      </c>
      <c r="S8" s="1" t="s">
        <v>36</v>
      </c>
      <c r="U8" s="1" t="s">
        <v>37</v>
      </c>
      <c r="V8" s="1">
        <v>-3.0</v>
      </c>
      <c r="W8" s="1">
        <v>27.0</v>
      </c>
      <c r="X8" s="1">
        <v>24.0</v>
      </c>
      <c r="Y8" s="1" t="s">
        <v>51</v>
      </c>
      <c r="AA8" s="1" t="s">
        <v>39</v>
      </c>
      <c r="AB8" s="1">
        <v>0.0</v>
      </c>
      <c r="AC8" s="1">
        <v>0.0</v>
      </c>
      <c r="AD8" s="1">
        <v>0.0</v>
      </c>
      <c r="AE8" s="4">
        <v>0.6229166666666667</v>
      </c>
      <c r="AF8" s="1" t="s">
        <v>40</v>
      </c>
    </row>
    <row r="9">
      <c r="B9" s="2">
        <v>46197.0</v>
      </c>
      <c r="C9" s="3">
        <v>0.4791666666666667</v>
      </c>
      <c r="D9" s="3">
        <v>0.4930555555555556</v>
      </c>
      <c r="E9" s="3">
        <v>0.4791666666666667</v>
      </c>
      <c r="F9" s="3">
        <v>0.5076388888888889</v>
      </c>
      <c r="H9" s="1" t="s">
        <v>60</v>
      </c>
      <c r="J9" s="1" t="s">
        <v>33</v>
      </c>
      <c r="K9" s="1">
        <v>7.226207156E9</v>
      </c>
      <c r="L9" s="1" t="s">
        <v>53</v>
      </c>
      <c r="M9" s="1" t="s">
        <v>35</v>
      </c>
      <c r="N9" s="1" t="s">
        <v>50</v>
      </c>
      <c r="P9" s="1">
        <v>0.0</v>
      </c>
      <c r="Q9" s="1">
        <v>0.0</v>
      </c>
      <c r="R9" s="1" t="s">
        <v>36</v>
      </c>
      <c r="S9" s="1" t="s">
        <v>36</v>
      </c>
      <c r="U9" s="1" t="s">
        <v>37</v>
      </c>
      <c r="V9" s="1">
        <v>9.0</v>
      </c>
      <c r="W9" s="1">
        <v>32.0</v>
      </c>
      <c r="X9" s="1">
        <v>41.0</v>
      </c>
      <c r="Y9" s="1" t="s">
        <v>51</v>
      </c>
      <c r="AA9" s="1" t="s">
        <v>39</v>
      </c>
      <c r="AB9" s="1">
        <v>0.0</v>
      </c>
      <c r="AC9" s="1">
        <v>0.0</v>
      </c>
      <c r="AD9" s="1">
        <v>0.0</v>
      </c>
      <c r="AE9" s="4">
        <v>0.48541666666666666</v>
      </c>
      <c r="AF9" s="1" t="s">
        <v>40</v>
      </c>
    </row>
    <row r="10">
      <c r="B10" s="2">
        <v>46197.0</v>
      </c>
      <c r="C10" s="3">
        <v>0.4583333333333333</v>
      </c>
      <c r="D10" s="3">
        <v>0.4791666666666667</v>
      </c>
      <c r="E10" s="3">
        <v>0.4583333333333333</v>
      </c>
      <c r="F10" s="3">
        <v>0.4791666666666667</v>
      </c>
      <c r="G10" s="1">
        <v>1.50583829836E11</v>
      </c>
      <c r="H10" s="1" t="s">
        <v>61</v>
      </c>
      <c r="J10" s="1" t="s">
        <v>33</v>
      </c>
      <c r="K10" s="1">
        <v>5.217223951207E12</v>
      </c>
      <c r="L10" s="1" t="s">
        <v>62</v>
      </c>
      <c r="M10" s="1" t="s">
        <v>47</v>
      </c>
      <c r="N10" s="1" t="s">
        <v>63</v>
      </c>
      <c r="P10" s="1">
        <v>0.0</v>
      </c>
      <c r="Q10" s="1">
        <v>0.0</v>
      </c>
      <c r="R10" s="1" t="s">
        <v>36</v>
      </c>
      <c r="S10" s="1" t="s">
        <v>36</v>
      </c>
      <c r="U10" s="1" t="s">
        <v>37</v>
      </c>
      <c r="V10" s="1">
        <v>7.0</v>
      </c>
      <c r="W10" s="1">
        <v>23.0</v>
      </c>
      <c r="X10" s="1">
        <v>30.0</v>
      </c>
      <c r="Y10" s="1" t="s">
        <v>51</v>
      </c>
      <c r="AA10" s="1" t="s">
        <v>39</v>
      </c>
      <c r="AB10" s="1">
        <v>0.0</v>
      </c>
      <c r="AC10" s="1">
        <v>0.0</v>
      </c>
      <c r="AD10" s="1">
        <v>0.0</v>
      </c>
      <c r="AE10" s="4">
        <v>0.46319444444444446</v>
      </c>
      <c r="AF10" s="1" t="s">
        <v>40</v>
      </c>
    </row>
    <row r="11">
      <c r="B11" s="2">
        <v>46195.0</v>
      </c>
      <c r="C11" s="3">
        <v>0.375</v>
      </c>
      <c r="D11" s="3">
        <v>0.4166666666666667</v>
      </c>
      <c r="E11" s="3">
        <v>0.375</v>
      </c>
      <c r="F11" s="3">
        <v>0.4326388888888889</v>
      </c>
      <c r="G11" s="1">
        <v>2.03385450586E11</v>
      </c>
      <c r="H11" s="1" t="s">
        <v>64</v>
      </c>
      <c r="J11" s="1" t="s">
        <v>33</v>
      </c>
      <c r="K11" s="5" t="str">
        <f>+52 55 7828 7830</f>
        <v>#ERROR!</v>
      </c>
      <c r="L11" s="1" t="s">
        <v>55</v>
      </c>
      <c r="M11" s="1" t="s">
        <v>56</v>
      </c>
      <c r="N11" s="1" t="s">
        <v>54</v>
      </c>
      <c r="P11" s="1">
        <v>0.0</v>
      </c>
      <c r="Q11" s="1">
        <v>0.0</v>
      </c>
      <c r="R11" s="1" t="s">
        <v>57</v>
      </c>
      <c r="S11" s="1" t="s">
        <v>36</v>
      </c>
      <c r="U11" s="1" t="s">
        <v>37</v>
      </c>
      <c r="V11" s="1">
        <v>21.0</v>
      </c>
      <c r="W11" s="1">
        <v>62.0</v>
      </c>
      <c r="X11" s="1">
        <v>83.0</v>
      </c>
      <c r="Y11" s="1" t="s">
        <v>51</v>
      </c>
      <c r="AA11" s="1" t="s">
        <v>39</v>
      </c>
      <c r="AB11" s="1">
        <v>0.0</v>
      </c>
      <c r="AC11" s="1">
        <v>0.0</v>
      </c>
      <c r="AD11" s="1">
        <v>0.0</v>
      </c>
      <c r="AE11" s="4">
        <v>0.38958333333333334</v>
      </c>
      <c r="AF11" s="1" t="s">
        <v>40</v>
      </c>
    </row>
    <row r="12">
      <c r="B12" s="2">
        <v>46195.0</v>
      </c>
      <c r="C12" s="3">
        <v>0.4375</v>
      </c>
      <c r="D12" s="3">
        <v>0.4583333333333333</v>
      </c>
      <c r="E12" s="3">
        <v>0.4326388888888889</v>
      </c>
      <c r="F12" s="3">
        <v>0.4875</v>
      </c>
      <c r="G12" s="1">
        <v>2.03385450586E11</v>
      </c>
      <c r="H12" s="1" t="s">
        <v>64</v>
      </c>
      <c r="J12" s="1" t="s">
        <v>33</v>
      </c>
      <c r="K12" s="5" t="str">
        <f>+52 55 7828 7830</f>
        <v>#ERROR!</v>
      </c>
      <c r="L12" s="1" t="s">
        <v>62</v>
      </c>
      <c r="M12" s="1" t="s">
        <v>47</v>
      </c>
      <c r="N12" s="1" t="s">
        <v>54</v>
      </c>
      <c r="P12" s="1">
        <v>0.0</v>
      </c>
      <c r="Q12" s="1">
        <v>0.0</v>
      </c>
      <c r="R12" s="1" t="s">
        <v>36</v>
      </c>
      <c r="S12" s="1" t="s">
        <v>36</v>
      </c>
      <c r="U12" s="1" t="s">
        <v>37</v>
      </c>
      <c r="V12" s="1">
        <v>25.0</v>
      </c>
      <c r="W12" s="1">
        <v>54.0</v>
      </c>
      <c r="X12" s="1">
        <v>79.0</v>
      </c>
      <c r="Y12" s="1" t="s">
        <v>51</v>
      </c>
      <c r="AA12" s="1" t="s">
        <v>39</v>
      </c>
      <c r="AB12" s="1">
        <v>0.0</v>
      </c>
      <c r="AC12" s="1">
        <v>0.0</v>
      </c>
      <c r="AD12" s="1">
        <v>0.0</v>
      </c>
      <c r="AE12" s="4">
        <v>0.45</v>
      </c>
      <c r="AF12" s="1" t="s">
        <v>40</v>
      </c>
    </row>
    <row r="13">
      <c r="B13" s="2">
        <v>46195.0</v>
      </c>
      <c r="C13" s="3">
        <v>0.4166666666666667</v>
      </c>
      <c r="D13" s="3">
        <v>0.4375</v>
      </c>
      <c r="E13" s="3">
        <v>0.4166666666666667</v>
      </c>
      <c r="F13" s="3">
        <v>0.44930555555555557</v>
      </c>
      <c r="G13" s="1">
        <v>1.94301942286E11</v>
      </c>
      <c r="H13" s="1" t="s">
        <v>65</v>
      </c>
      <c r="J13" s="1" t="s">
        <v>33</v>
      </c>
      <c r="K13" s="5">
        <f>+527771849692</f>
        <v>527771849692</v>
      </c>
      <c r="L13" s="1" t="s">
        <v>62</v>
      </c>
      <c r="M13" s="1" t="s">
        <v>47</v>
      </c>
      <c r="N13" s="1" t="s">
        <v>50</v>
      </c>
      <c r="P13" s="1">
        <v>0.0</v>
      </c>
      <c r="Q13" s="1">
        <v>0.0</v>
      </c>
      <c r="R13" s="1" t="s">
        <v>36</v>
      </c>
      <c r="S13" s="1" t="s">
        <v>36</v>
      </c>
      <c r="U13" s="1" t="s">
        <v>37</v>
      </c>
      <c r="V13" s="1">
        <v>9.0</v>
      </c>
      <c r="W13" s="1">
        <v>38.0</v>
      </c>
      <c r="X13" s="1">
        <v>47.0</v>
      </c>
      <c r="Y13" s="1" t="s">
        <v>51</v>
      </c>
      <c r="AA13" s="1" t="s">
        <v>39</v>
      </c>
      <c r="AB13" s="1">
        <v>0.0</v>
      </c>
      <c r="AC13" s="1">
        <v>0.0</v>
      </c>
      <c r="AD13" s="1">
        <v>0.0</v>
      </c>
      <c r="AE13" s="4">
        <v>0.42291666666666666</v>
      </c>
      <c r="AF13" s="1" t="s">
        <v>40</v>
      </c>
    </row>
    <row r="14">
      <c r="B14" s="2">
        <v>46192.0</v>
      </c>
      <c r="C14" s="3">
        <v>0.4583333333333333</v>
      </c>
      <c r="D14" s="3">
        <v>0.5</v>
      </c>
      <c r="E14" s="3">
        <v>0.4583333333333333</v>
      </c>
      <c r="F14" s="3">
        <v>0.5451388888888888</v>
      </c>
      <c r="G14" s="1">
        <v>2.28674278407E11</v>
      </c>
      <c r="H14" s="1" t="s">
        <v>66</v>
      </c>
      <c r="J14" s="1" t="s">
        <v>33</v>
      </c>
      <c r="K14" s="5">
        <f>+5215539520180</f>
        <v>5215539520180</v>
      </c>
      <c r="L14" s="1" t="s">
        <v>67</v>
      </c>
      <c r="M14" s="1" t="s">
        <v>68</v>
      </c>
      <c r="N14" s="1" t="s">
        <v>69</v>
      </c>
      <c r="P14" s="1">
        <v>0.0</v>
      </c>
      <c r="R14" s="1" t="s">
        <v>36</v>
      </c>
      <c r="S14" s="1" t="s">
        <v>36</v>
      </c>
      <c r="U14" s="1" t="s">
        <v>37</v>
      </c>
      <c r="V14" s="1">
        <v>12.0</v>
      </c>
      <c r="W14" s="1">
        <v>113.0</v>
      </c>
      <c r="X14" s="1">
        <v>125.0</v>
      </c>
      <c r="Y14" s="1" t="s">
        <v>51</v>
      </c>
      <c r="AA14" s="1" t="s">
        <v>39</v>
      </c>
      <c r="AB14" s="1">
        <v>0.0</v>
      </c>
      <c r="AC14" s="1">
        <v>0.0</v>
      </c>
      <c r="AD14" s="1">
        <v>0.0</v>
      </c>
      <c r="AE14" s="4">
        <v>0.4666666666666667</v>
      </c>
      <c r="AF14" s="1" t="s">
        <v>40</v>
      </c>
    </row>
    <row r="15">
      <c r="B15" s="2">
        <v>46192.0</v>
      </c>
      <c r="C15" s="3">
        <v>0.4375</v>
      </c>
      <c r="D15" s="3">
        <v>0.4444444444444444</v>
      </c>
      <c r="E15" s="3">
        <v>0.4375</v>
      </c>
      <c r="F15" s="3">
        <v>0.44166666666666665</v>
      </c>
      <c r="G15" s="1">
        <v>2.0364885844E11</v>
      </c>
      <c r="H15" s="1" t="s">
        <v>48</v>
      </c>
      <c r="I15" s="1" t="s">
        <v>32</v>
      </c>
      <c r="J15" s="1" t="s">
        <v>33</v>
      </c>
      <c r="K15" s="5">
        <f>+527221044199</f>
        <v>527221044199</v>
      </c>
      <c r="L15" s="1" t="s">
        <v>42</v>
      </c>
      <c r="M15" s="1" t="s">
        <v>43</v>
      </c>
      <c r="N15" s="1" t="s">
        <v>70</v>
      </c>
      <c r="P15" s="1">
        <v>0.0</v>
      </c>
      <c r="Q15" s="1">
        <v>0.0</v>
      </c>
      <c r="R15" s="1" t="s">
        <v>45</v>
      </c>
      <c r="S15" s="1" t="s">
        <v>36</v>
      </c>
      <c r="U15" s="1" t="s">
        <v>37</v>
      </c>
      <c r="V15" s="1">
        <v>-11.0</v>
      </c>
      <c r="W15" s="1">
        <v>17.0</v>
      </c>
      <c r="X15" s="1">
        <v>6.0</v>
      </c>
      <c r="Y15" s="1" t="s">
        <v>38</v>
      </c>
      <c r="AA15" s="1" t="s">
        <v>39</v>
      </c>
      <c r="AB15" s="1">
        <v>0.0</v>
      </c>
      <c r="AC15" s="1">
        <v>0.0</v>
      </c>
      <c r="AD15" s="1">
        <v>0.0</v>
      </c>
      <c r="AE15" s="4">
        <v>0.42986111111111114</v>
      </c>
      <c r="AF15" s="1" t="s">
        <v>40</v>
      </c>
    </row>
    <row r="16">
      <c r="B16" s="2">
        <v>46191.0</v>
      </c>
      <c r="C16" s="3">
        <v>0.3923611111111111</v>
      </c>
      <c r="D16" s="3">
        <v>0.3993055555555556</v>
      </c>
      <c r="E16" s="3">
        <v>0.3923611111111111</v>
      </c>
      <c r="F16" s="3">
        <v>0.4638888888888889</v>
      </c>
      <c r="G16" s="1">
        <v>2.10907083327E11</v>
      </c>
      <c r="H16" s="1" t="s">
        <v>71</v>
      </c>
      <c r="J16" s="1" t="s">
        <v>33</v>
      </c>
      <c r="K16" s="5">
        <f t="shared" ref="K16:K17" si="2">+527626234313</f>
        <v>527626234313</v>
      </c>
      <c r="L16" s="1" t="s">
        <v>42</v>
      </c>
      <c r="M16" s="1" t="s">
        <v>43</v>
      </c>
      <c r="N16" s="1" t="s">
        <v>72</v>
      </c>
      <c r="P16" s="6">
        <v>40375.0</v>
      </c>
      <c r="R16" s="1" t="s">
        <v>45</v>
      </c>
      <c r="S16" s="1" t="s">
        <v>36</v>
      </c>
      <c r="U16" s="1" t="s">
        <v>37</v>
      </c>
      <c r="V16" s="1">
        <v>-30.0</v>
      </c>
      <c r="W16" s="1">
        <v>133.0</v>
      </c>
      <c r="X16" s="1">
        <v>103.0</v>
      </c>
      <c r="Y16" s="1" t="s">
        <v>38</v>
      </c>
      <c r="AA16" s="1" t="s">
        <v>39</v>
      </c>
      <c r="AB16" s="1">
        <v>0.0</v>
      </c>
      <c r="AC16" s="1">
        <v>0.0</v>
      </c>
      <c r="AD16" s="1">
        <v>0.0</v>
      </c>
      <c r="AE16" s="4">
        <v>0.3715277777777778</v>
      </c>
      <c r="AF16" s="1" t="s">
        <v>40</v>
      </c>
    </row>
    <row r="17">
      <c r="B17" s="2">
        <v>46191.0</v>
      </c>
      <c r="C17" s="3">
        <v>0.375</v>
      </c>
      <c r="D17" s="3">
        <v>0.3888888888888889</v>
      </c>
      <c r="E17" s="3">
        <v>0.375</v>
      </c>
      <c r="F17" s="3">
        <v>0.4638888888888889</v>
      </c>
      <c r="G17" s="1">
        <v>2.10907083327E11</v>
      </c>
      <c r="H17" s="1" t="s">
        <v>71</v>
      </c>
      <c r="J17" s="1" t="s">
        <v>33</v>
      </c>
      <c r="K17" s="5">
        <f t="shared" si="2"/>
        <v>527626234313</v>
      </c>
      <c r="L17" s="1" t="s">
        <v>46</v>
      </c>
      <c r="M17" s="1" t="s">
        <v>47</v>
      </c>
      <c r="N17" s="1" t="s">
        <v>50</v>
      </c>
      <c r="P17" s="6">
        <v>40375.0</v>
      </c>
      <c r="R17" s="1" t="s">
        <v>36</v>
      </c>
      <c r="S17" s="1" t="s">
        <v>36</v>
      </c>
      <c r="U17" s="1" t="s">
        <v>37</v>
      </c>
      <c r="V17" s="1">
        <v>-5.0</v>
      </c>
      <c r="W17" s="1">
        <v>133.0</v>
      </c>
      <c r="X17" s="1">
        <v>128.0</v>
      </c>
      <c r="Y17" s="1" t="s">
        <v>51</v>
      </c>
      <c r="AA17" s="1" t="s">
        <v>39</v>
      </c>
      <c r="AB17" s="1">
        <v>0.0</v>
      </c>
      <c r="AC17" s="1">
        <v>0.0</v>
      </c>
      <c r="AD17" s="1">
        <v>0.0</v>
      </c>
      <c r="AE17" s="4">
        <v>0.3715277777777778</v>
      </c>
      <c r="AF17" s="1" t="s">
        <v>40</v>
      </c>
    </row>
    <row r="18">
      <c r="B18" s="2">
        <v>46190.0</v>
      </c>
      <c r="C18" s="3">
        <v>0.6041666666666666</v>
      </c>
      <c r="D18" s="3">
        <v>0.6354166666666666</v>
      </c>
      <c r="E18" s="3">
        <v>0.6041666666666666</v>
      </c>
      <c r="F18" s="3">
        <v>0.6597222222222222</v>
      </c>
      <c r="H18" s="1" t="s">
        <v>73</v>
      </c>
      <c r="J18" s="1" t="s">
        <v>33</v>
      </c>
      <c r="K18" s="1">
        <v>7.2251611E9</v>
      </c>
      <c r="L18" s="1" t="s">
        <v>74</v>
      </c>
      <c r="M18" s="1" t="s">
        <v>43</v>
      </c>
      <c r="P18" s="1">
        <v>0.0</v>
      </c>
      <c r="Q18" s="1">
        <v>0.0</v>
      </c>
      <c r="R18" s="1" t="s">
        <v>75</v>
      </c>
      <c r="S18" s="1" t="s">
        <v>36</v>
      </c>
      <c r="U18" s="1" t="s">
        <v>37</v>
      </c>
      <c r="V18" s="1">
        <v>14.0</v>
      </c>
      <c r="W18" s="1">
        <v>66.0</v>
      </c>
      <c r="X18" s="1">
        <v>80.0</v>
      </c>
      <c r="Y18" s="1" t="s">
        <v>76</v>
      </c>
      <c r="AA18" s="1" t="s">
        <v>39</v>
      </c>
      <c r="AB18" s="1">
        <v>0.0</v>
      </c>
      <c r="AC18" s="1">
        <v>0.0</v>
      </c>
      <c r="AD18" s="1">
        <v>0.0</v>
      </c>
      <c r="AE18" s="4">
        <v>0.6138888888888889</v>
      </c>
      <c r="AF18" s="1" t="s">
        <v>40</v>
      </c>
    </row>
    <row r="19">
      <c r="B19" s="2">
        <v>46190.0</v>
      </c>
      <c r="C19" s="3">
        <v>0.375</v>
      </c>
      <c r="D19" s="3">
        <v>0.3958333333333333</v>
      </c>
      <c r="E19" s="3">
        <v>0.375</v>
      </c>
      <c r="F19" s="3">
        <v>0.40347222222222223</v>
      </c>
      <c r="H19" s="1" t="s">
        <v>77</v>
      </c>
      <c r="J19" s="1" t="s">
        <v>33</v>
      </c>
      <c r="K19" s="5">
        <f>+52-72-23-311948</f>
        <v>-311991</v>
      </c>
      <c r="L19" s="1" t="s">
        <v>78</v>
      </c>
      <c r="M19" s="1" t="s">
        <v>47</v>
      </c>
      <c r="N19" s="7">
        <v>1500.0</v>
      </c>
      <c r="P19" s="1">
        <v>0.0</v>
      </c>
      <c r="Q19" s="1">
        <v>0.0</v>
      </c>
      <c r="R19" s="1" t="s">
        <v>36</v>
      </c>
      <c r="S19" s="1" t="s">
        <v>36</v>
      </c>
      <c r="U19" s="1" t="s">
        <v>37</v>
      </c>
      <c r="V19" s="1">
        <v>32.0</v>
      </c>
      <c r="W19" s="1">
        <v>9.0</v>
      </c>
      <c r="X19" s="1">
        <v>41.0</v>
      </c>
      <c r="Y19" s="1" t="s">
        <v>51</v>
      </c>
      <c r="AA19" s="1" t="s">
        <v>39</v>
      </c>
      <c r="AB19" s="1">
        <v>0.0</v>
      </c>
      <c r="AC19" s="1">
        <v>0.0</v>
      </c>
      <c r="AD19" s="1">
        <v>0.0</v>
      </c>
      <c r="AE19" s="4">
        <v>0.3972222222222222</v>
      </c>
      <c r="AF19" s="1" t="s">
        <v>40</v>
      </c>
    </row>
    <row r="20">
      <c r="B20" s="2">
        <v>46190.0</v>
      </c>
      <c r="C20" s="3">
        <v>0.4166666666666667</v>
      </c>
      <c r="D20" s="3">
        <v>0.4375</v>
      </c>
      <c r="E20" s="3">
        <v>0.4166666666666667</v>
      </c>
      <c r="F20" s="3">
        <v>0.4388888888888889</v>
      </c>
      <c r="G20" s="1">
        <v>2.15838553456E11</v>
      </c>
      <c r="H20" s="1" t="s">
        <v>79</v>
      </c>
      <c r="J20" s="1" t="s">
        <v>33</v>
      </c>
      <c r="K20" s="5">
        <f>+527228517473</f>
        <v>527228517473</v>
      </c>
      <c r="L20" s="1" t="s">
        <v>80</v>
      </c>
      <c r="M20" s="1" t="s">
        <v>47</v>
      </c>
      <c r="N20" s="1" t="s">
        <v>50</v>
      </c>
      <c r="P20" s="6">
        <v>24225.0</v>
      </c>
      <c r="Q20" s="1">
        <v>0.0</v>
      </c>
      <c r="R20" s="1" t="s">
        <v>36</v>
      </c>
      <c r="S20" s="1" t="s">
        <v>36</v>
      </c>
      <c r="U20" s="1" t="s">
        <v>37</v>
      </c>
      <c r="V20" s="1">
        <v>-2.0</v>
      </c>
      <c r="W20" s="1">
        <v>34.0</v>
      </c>
      <c r="X20" s="1">
        <v>32.0</v>
      </c>
      <c r="Y20" s="1" t="s">
        <v>51</v>
      </c>
      <c r="AA20" s="1" t="s">
        <v>39</v>
      </c>
      <c r="AB20" s="1">
        <v>0.0</v>
      </c>
      <c r="AC20" s="1">
        <v>0.0</v>
      </c>
      <c r="AD20" s="1">
        <v>0.0</v>
      </c>
      <c r="AE20" s="4">
        <v>0.4152777777777778</v>
      </c>
      <c r="AF20" s="1" t="s">
        <v>40</v>
      </c>
    </row>
    <row r="21">
      <c r="B21" s="2">
        <v>46190.0</v>
      </c>
      <c r="C21" s="3">
        <v>0.3541666666666667</v>
      </c>
      <c r="D21" s="3">
        <v>0.3680555555555556</v>
      </c>
      <c r="E21" s="3">
        <v>0.3541666666666667</v>
      </c>
      <c r="F21" s="3">
        <v>0.3958333333333333</v>
      </c>
      <c r="G21" s="1">
        <v>1.79483889727E11</v>
      </c>
      <c r="H21" s="1" t="s">
        <v>81</v>
      </c>
      <c r="J21" s="1" t="s">
        <v>33</v>
      </c>
      <c r="K21" s="5">
        <f>+527223877418</f>
        <v>527223877418</v>
      </c>
      <c r="L21" s="1" t="s">
        <v>53</v>
      </c>
      <c r="M21" s="1" t="s">
        <v>35</v>
      </c>
      <c r="N21" s="1" t="s">
        <v>50</v>
      </c>
      <c r="P21" s="1">
        <v>0.0</v>
      </c>
      <c r="Q21" s="1">
        <v>0.0</v>
      </c>
      <c r="R21" s="1" t="s">
        <v>36</v>
      </c>
      <c r="S21" s="1" t="s">
        <v>36</v>
      </c>
      <c r="U21" s="1" t="s">
        <v>37</v>
      </c>
      <c r="V21" s="1">
        <v>22.0</v>
      </c>
      <c r="W21" s="1">
        <v>38.0</v>
      </c>
      <c r="X21" s="1">
        <v>60.0</v>
      </c>
      <c r="Y21" s="1" t="s">
        <v>51</v>
      </c>
      <c r="AA21" s="1" t="s">
        <v>39</v>
      </c>
      <c r="AB21" s="1">
        <v>0.0</v>
      </c>
      <c r="AC21" s="1">
        <v>0.0</v>
      </c>
      <c r="AD21" s="1">
        <v>0.0</v>
      </c>
      <c r="AE21" s="4">
        <v>0.36944444444444446</v>
      </c>
      <c r="AF21" s="1" t="s">
        <v>40</v>
      </c>
    </row>
    <row r="22">
      <c r="B22" s="2">
        <v>46190.0</v>
      </c>
      <c r="C22" s="3">
        <v>0.5416666666666666</v>
      </c>
      <c r="D22" s="3">
        <v>0.5625</v>
      </c>
      <c r="E22" s="3">
        <v>0.5416666666666666</v>
      </c>
      <c r="F22" s="3">
        <v>0.5694444444444444</v>
      </c>
      <c r="G22" s="1">
        <v>2.14041217624E11</v>
      </c>
      <c r="H22" s="1" t="s">
        <v>82</v>
      </c>
      <c r="J22" s="1" t="s">
        <v>33</v>
      </c>
      <c r="K22" s="5">
        <f>+526671454884</f>
        <v>526671454884</v>
      </c>
      <c r="L22" s="1" t="s">
        <v>78</v>
      </c>
      <c r="M22" s="1" t="s">
        <v>47</v>
      </c>
      <c r="N22" s="1" t="s">
        <v>50</v>
      </c>
      <c r="P22" s="1">
        <v>0.0</v>
      </c>
      <c r="Q22" s="1">
        <v>0.0</v>
      </c>
      <c r="R22" s="1" t="s">
        <v>36</v>
      </c>
      <c r="S22" s="1" t="s">
        <v>36</v>
      </c>
      <c r="U22" s="1" t="s">
        <v>37</v>
      </c>
      <c r="V22" s="1">
        <v>3.0</v>
      </c>
      <c r="W22" s="1">
        <v>37.0</v>
      </c>
      <c r="X22" s="1">
        <v>40.0</v>
      </c>
      <c r="Y22" s="1" t="s">
        <v>51</v>
      </c>
      <c r="AA22" s="1" t="s">
        <v>39</v>
      </c>
      <c r="AB22" s="1">
        <v>0.0</v>
      </c>
      <c r="AC22" s="1">
        <v>0.0</v>
      </c>
      <c r="AD22" s="1">
        <v>0.0</v>
      </c>
      <c r="AE22" s="4">
        <v>0.54375</v>
      </c>
      <c r="AF22" s="1" t="s">
        <v>40</v>
      </c>
    </row>
    <row r="23">
      <c r="B23" s="2">
        <v>46185.0</v>
      </c>
      <c r="C23" s="3">
        <v>0.5486111111111112</v>
      </c>
      <c r="D23" s="3">
        <v>0.5694444444444444</v>
      </c>
      <c r="E23" s="3">
        <v>0.5597222222222222</v>
      </c>
      <c r="F23" s="3">
        <v>0.5875</v>
      </c>
      <c r="H23" s="1" t="s">
        <v>83</v>
      </c>
      <c r="J23" s="1" t="s">
        <v>33</v>
      </c>
      <c r="K23" s="1">
        <v>5.581209227E9</v>
      </c>
      <c r="L23" s="1" t="s">
        <v>78</v>
      </c>
      <c r="M23" s="1" t="s">
        <v>47</v>
      </c>
      <c r="P23" s="1">
        <v>0.0</v>
      </c>
      <c r="Q23" s="1">
        <v>0.0</v>
      </c>
      <c r="R23" s="1" t="s">
        <v>36</v>
      </c>
      <c r="S23" s="1" t="s">
        <v>36</v>
      </c>
      <c r="U23" s="1" t="s">
        <v>37</v>
      </c>
      <c r="V23" s="1">
        <v>29.0</v>
      </c>
      <c r="W23" s="1">
        <v>11.0</v>
      </c>
      <c r="X23" s="1">
        <v>40.0</v>
      </c>
      <c r="Y23" s="1" t="s">
        <v>76</v>
      </c>
      <c r="AA23" s="1" t="s">
        <v>39</v>
      </c>
      <c r="AB23" s="1">
        <v>0.0</v>
      </c>
      <c r="AC23" s="1">
        <v>0.0</v>
      </c>
      <c r="AD23" s="1">
        <v>0.0</v>
      </c>
      <c r="AE23" s="4">
        <v>0.5798611111111112</v>
      </c>
      <c r="AF23" s="1" t="s">
        <v>40</v>
      </c>
    </row>
    <row r="24">
      <c r="B24" s="2">
        <v>46185.0</v>
      </c>
      <c r="C24" s="3">
        <v>0.5</v>
      </c>
      <c r="D24" s="3">
        <v>0.5416666666666666</v>
      </c>
      <c r="E24" s="3">
        <v>0.5</v>
      </c>
      <c r="F24" s="3">
        <v>0.58125</v>
      </c>
      <c r="G24" s="1">
        <v>2.23758707523E11</v>
      </c>
      <c r="H24" s="1" t="s">
        <v>84</v>
      </c>
      <c r="J24" s="1" t="s">
        <v>33</v>
      </c>
      <c r="K24" s="5">
        <f>+525539312909</f>
        <v>525539312909</v>
      </c>
      <c r="L24" s="1" t="s">
        <v>85</v>
      </c>
      <c r="M24" s="1" t="s">
        <v>68</v>
      </c>
      <c r="N24" s="1" t="s">
        <v>86</v>
      </c>
      <c r="P24" s="1">
        <v>0.0</v>
      </c>
      <c r="Q24" s="1">
        <v>0.0</v>
      </c>
      <c r="R24" s="1" t="s">
        <v>36</v>
      </c>
      <c r="S24" s="1" t="s">
        <v>36</v>
      </c>
      <c r="U24" s="1" t="s">
        <v>37</v>
      </c>
      <c r="V24" s="1">
        <v>20.0</v>
      </c>
      <c r="W24" s="1">
        <v>97.0</v>
      </c>
      <c r="X24" s="1">
        <v>117.0</v>
      </c>
      <c r="Y24" s="1" t="s">
        <v>51</v>
      </c>
      <c r="AA24" s="1" t="s">
        <v>39</v>
      </c>
      <c r="AB24" s="1">
        <v>0.0</v>
      </c>
      <c r="AC24" s="1">
        <v>0.0</v>
      </c>
      <c r="AD24" s="1">
        <v>0.0</v>
      </c>
      <c r="AE24" s="4">
        <v>0.5138888888888888</v>
      </c>
      <c r="AF24" s="1" t="s">
        <v>40</v>
      </c>
    </row>
    <row r="25">
      <c r="B25" s="2">
        <v>46184.0</v>
      </c>
      <c r="C25" s="3">
        <v>0.4166666666666667</v>
      </c>
      <c r="D25" s="3">
        <v>0.4236111111111111</v>
      </c>
      <c r="E25" s="3">
        <v>0.4166666666666667</v>
      </c>
      <c r="F25" s="3">
        <v>0.4479166666666667</v>
      </c>
      <c r="H25" s="1" t="s">
        <v>60</v>
      </c>
      <c r="J25" s="1" t="s">
        <v>33</v>
      </c>
      <c r="K25" s="1">
        <v>7.226207156E9</v>
      </c>
      <c r="L25" s="1" t="s">
        <v>42</v>
      </c>
      <c r="M25" s="1" t="s">
        <v>43</v>
      </c>
      <c r="N25" s="1" t="s">
        <v>87</v>
      </c>
      <c r="P25" s="1">
        <v>0.0</v>
      </c>
      <c r="Q25" s="1">
        <v>0.0</v>
      </c>
      <c r="R25" s="1" t="s">
        <v>45</v>
      </c>
      <c r="S25" s="1" t="s">
        <v>36</v>
      </c>
      <c r="U25" s="1" t="s">
        <v>37</v>
      </c>
      <c r="V25" s="1">
        <v>7.0</v>
      </c>
      <c r="W25" s="1">
        <v>38.0</v>
      </c>
      <c r="X25" s="1">
        <v>45.0</v>
      </c>
      <c r="Y25" s="1" t="s">
        <v>51</v>
      </c>
      <c r="AA25" s="1" t="s">
        <v>39</v>
      </c>
      <c r="AB25" s="1">
        <v>0.0</v>
      </c>
      <c r="AC25" s="1">
        <v>0.0</v>
      </c>
      <c r="AD25" s="1">
        <v>0.0</v>
      </c>
      <c r="AE25" s="4">
        <v>0.4215277777777778</v>
      </c>
      <c r="AF25" s="1" t="s">
        <v>40</v>
      </c>
    </row>
    <row r="26">
      <c r="B26" s="2">
        <v>46184.0</v>
      </c>
      <c r="C26" s="3">
        <v>0.3541666666666667</v>
      </c>
      <c r="D26" s="3">
        <v>0.375</v>
      </c>
      <c r="E26" s="3">
        <v>0.3541666666666667</v>
      </c>
      <c r="F26" s="3">
        <v>0.4</v>
      </c>
      <c r="G26" s="1">
        <v>2.03385450586E11</v>
      </c>
      <c r="H26" s="1" t="s">
        <v>64</v>
      </c>
      <c r="J26" s="1" t="s">
        <v>33</v>
      </c>
      <c r="K26" s="5" t="str">
        <f>+52 55 7828 7830</f>
        <v>#ERROR!</v>
      </c>
      <c r="L26" s="1" t="s">
        <v>62</v>
      </c>
      <c r="M26" s="1" t="s">
        <v>47</v>
      </c>
      <c r="N26" s="1" t="s">
        <v>88</v>
      </c>
      <c r="P26" s="1">
        <v>0.0</v>
      </c>
      <c r="Q26" s="1">
        <v>0.0</v>
      </c>
      <c r="R26" s="1" t="s">
        <v>36</v>
      </c>
      <c r="S26" s="1" t="s">
        <v>36</v>
      </c>
      <c r="U26" s="1" t="s">
        <v>37</v>
      </c>
      <c r="V26" s="1">
        <v>22.0</v>
      </c>
      <c r="W26" s="1">
        <v>44.0</v>
      </c>
      <c r="X26" s="1">
        <v>66.0</v>
      </c>
      <c r="Y26" s="1" t="s">
        <v>51</v>
      </c>
      <c r="AA26" s="1" t="s">
        <v>39</v>
      </c>
      <c r="AB26" s="1">
        <v>0.0</v>
      </c>
      <c r="AC26" s="1">
        <v>0.0</v>
      </c>
      <c r="AD26" s="1">
        <v>0.0</v>
      </c>
      <c r="AE26" s="4">
        <v>0.36944444444444446</v>
      </c>
      <c r="AF26" s="1" t="s">
        <v>40</v>
      </c>
    </row>
    <row r="27">
      <c r="B27" s="2">
        <v>46184.0</v>
      </c>
      <c r="C27" s="3">
        <v>0.3541666666666667</v>
      </c>
      <c r="D27" s="3">
        <v>0.3854166666666667</v>
      </c>
      <c r="E27" s="3">
        <v>0.3541666666666667</v>
      </c>
      <c r="F27" s="3">
        <v>0.3861111111111111</v>
      </c>
      <c r="G27" s="1">
        <v>2.23783356199E11</v>
      </c>
      <c r="H27" s="1" t="s">
        <v>89</v>
      </c>
      <c r="J27" s="1" t="s">
        <v>33</v>
      </c>
      <c r="K27" s="1">
        <v>7.621118502E9</v>
      </c>
      <c r="L27" s="1" t="s">
        <v>74</v>
      </c>
      <c r="M27" s="1" t="s">
        <v>43</v>
      </c>
      <c r="N27" s="1" t="s">
        <v>90</v>
      </c>
      <c r="P27" s="1">
        <v>0.0</v>
      </c>
      <c r="Q27" s="1">
        <v>0.0</v>
      </c>
      <c r="R27" s="1" t="s">
        <v>75</v>
      </c>
      <c r="S27" s="1" t="s">
        <v>36</v>
      </c>
      <c r="U27" s="1" t="s">
        <v>37</v>
      </c>
      <c r="V27" s="1">
        <v>22.0</v>
      </c>
      <c r="W27" s="1">
        <v>24.0</v>
      </c>
      <c r="X27" s="1">
        <v>46.0</v>
      </c>
      <c r="Y27" s="1" t="s">
        <v>51</v>
      </c>
      <c r="AA27" s="1" t="s">
        <v>39</v>
      </c>
      <c r="AB27" s="1">
        <v>0.0</v>
      </c>
      <c r="AC27" s="1">
        <v>0.0</v>
      </c>
      <c r="AD27" s="1">
        <v>0.0</v>
      </c>
      <c r="AE27" s="4">
        <v>0.36944444444444446</v>
      </c>
      <c r="AF27" s="1" t="s">
        <v>40</v>
      </c>
    </row>
    <row r="28">
      <c r="B28" s="2">
        <v>46184.0</v>
      </c>
      <c r="C28" s="3">
        <v>0.3541666666666667</v>
      </c>
      <c r="D28" s="3">
        <v>0.3611111111111111</v>
      </c>
      <c r="E28" s="3">
        <v>0.3541666666666667</v>
      </c>
      <c r="F28" s="3">
        <v>0.3861111111111111</v>
      </c>
      <c r="G28" s="1">
        <v>2.23758707523E11</v>
      </c>
      <c r="H28" s="1" t="s">
        <v>84</v>
      </c>
      <c r="J28" s="1" t="s">
        <v>33</v>
      </c>
      <c r="K28" s="5">
        <f>+525539312909</f>
        <v>525539312909</v>
      </c>
      <c r="L28" s="1" t="s">
        <v>42</v>
      </c>
      <c r="M28" s="1" t="s">
        <v>43</v>
      </c>
      <c r="N28" s="1" t="s">
        <v>91</v>
      </c>
      <c r="P28" s="1">
        <v>0.0</v>
      </c>
      <c r="Q28" s="1">
        <v>0.0</v>
      </c>
      <c r="R28" s="1" t="s">
        <v>45</v>
      </c>
      <c r="S28" s="1" t="s">
        <v>36</v>
      </c>
      <c r="U28" s="1" t="s">
        <v>37</v>
      </c>
      <c r="V28" s="1">
        <v>22.0</v>
      </c>
      <c r="W28" s="1">
        <v>24.0</v>
      </c>
      <c r="X28" s="1">
        <v>46.0</v>
      </c>
      <c r="Y28" s="1" t="s">
        <v>51</v>
      </c>
      <c r="AA28" s="1" t="s">
        <v>39</v>
      </c>
      <c r="AB28" s="1">
        <v>0.0</v>
      </c>
      <c r="AC28" s="1">
        <v>0.0</v>
      </c>
      <c r="AD28" s="1">
        <v>0.0</v>
      </c>
      <c r="AE28" s="4">
        <v>0.36944444444444446</v>
      </c>
      <c r="AF28" s="1" t="s">
        <v>40</v>
      </c>
    </row>
    <row r="29">
      <c r="B29" s="2">
        <v>46183.0</v>
      </c>
      <c r="C29" s="3">
        <v>0.5</v>
      </c>
      <c r="D29" s="3">
        <v>0.5416666666666666</v>
      </c>
      <c r="E29" s="3">
        <v>0.5</v>
      </c>
      <c r="F29" s="3">
        <v>0.6631944444444444</v>
      </c>
      <c r="G29" s="1">
        <v>2.26828991633E11</v>
      </c>
      <c r="H29" s="1" t="s">
        <v>92</v>
      </c>
      <c r="J29" s="1" t="s">
        <v>33</v>
      </c>
      <c r="K29" s="5">
        <f>+527226031586</f>
        <v>527226031586</v>
      </c>
      <c r="L29" s="1" t="s">
        <v>93</v>
      </c>
      <c r="M29" s="1" t="s">
        <v>68</v>
      </c>
      <c r="N29" s="1" t="s">
        <v>94</v>
      </c>
      <c r="P29" s="1">
        <v>0.0</v>
      </c>
      <c r="Q29" s="1">
        <v>0.0</v>
      </c>
      <c r="R29" s="1" t="s">
        <v>36</v>
      </c>
      <c r="S29" s="1" t="s">
        <v>36</v>
      </c>
      <c r="U29" s="1" t="s">
        <v>37</v>
      </c>
      <c r="V29" s="1">
        <v>25.0</v>
      </c>
      <c r="W29" s="1">
        <v>210.0</v>
      </c>
      <c r="X29" s="1">
        <v>235.0</v>
      </c>
      <c r="Y29" s="1" t="s">
        <v>51</v>
      </c>
      <c r="Z29" s="1" t="s">
        <v>95</v>
      </c>
      <c r="AA29" s="1" t="s">
        <v>39</v>
      </c>
      <c r="AB29" s="1">
        <v>0.0</v>
      </c>
      <c r="AC29" s="1">
        <v>0.0</v>
      </c>
      <c r="AD29" s="1">
        <v>0.0</v>
      </c>
      <c r="AE29" s="4">
        <v>0.5173611111111112</v>
      </c>
      <c r="AF29" s="1" t="s">
        <v>40</v>
      </c>
    </row>
    <row r="30">
      <c r="B30" s="2">
        <v>46183.0</v>
      </c>
      <c r="C30" s="3">
        <v>0.4166666666666667</v>
      </c>
      <c r="D30" s="3">
        <v>0.4375</v>
      </c>
      <c r="E30" s="3">
        <v>0.4166666666666667</v>
      </c>
      <c r="F30" s="3">
        <v>0.4652777777777778</v>
      </c>
      <c r="G30" s="1">
        <v>1.94301942286E11</v>
      </c>
      <c r="H30" s="1" t="s">
        <v>65</v>
      </c>
      <c r="J30" s="1" t="s">
        <v>33</v>
      </c>
      <c r="K30" s="5">
        <f>+527771849692</f>
        <v>527771849692</v>
      </c>
      <c r="L30" s="1" t="s">
        <v>80</v>
      </c>
      <c r="M30" s="1" t="s">
        <v>47</v>
      </c>
      <c r="N30" s="1" t="s">
        <v>50</v>
      </c>
      <c r="P30" s="1">
        <v>0.0</v>
      </c>
      <c r="Q30" s="1">
        <v>0.0</v>
      </c>
      <c r="R30" s="1" t="s">
        <v>36</v>
      </c>
      <c r="S30" s="1" t="s">
        <v>36</v>
      </c>
      <c r="U30" s="1" t="s">
        <v>37</v>
      </c>
      <c r="V30" s="1">
        <v>13.0</v>
      </c>
      <c r="W30" s="1">
        <v>57.0</v>
      </c>
      <c r="X30" s="1">
        <v>70.0</v>
      </c>
      <c r="Y30" s="1" t="s">
        <v>51</v>
      </c>
      <c r="AA30" s="1" t="s">
        <v>39</v>
      </c>
      <c r="AB30" s="1">
        <v>0.0</v>
      </c>
      <c r="AC30" s="1">
        <v>0.0</v>
      </c>
      <c r="AD30" s="1">
        <v>0.0</v>
      </c>
      <c r="AE30" s="4">
        <v>0.42569444444444443</v>
      </c>
      <c r="AF30" s="1" t="s">
        <v>40</v>
      </c>
    </row>
    <row r="31">
      <c r="B31" s="2">
        <v>46183.0</v>
      </c>
      <c r="C31" s="3">
        <v>0.4583333333333333</v>
      </c>
      <c r="D31" s="3">
        <v>0.5</v>
      </c>
      <c r="E31" s="3">
        <v>0.4583333333333333</v>
      </c>
      <c r="F31" s="3">
        <v>0.49722222222222223</v>
      </c>
      <c r="G31" s="1">
        <v>2.26411340852E11</v>
      </c>
      <c r="H31" s="1" t="s">
        <v>96</v>
      </c>
      <c r="J31" s="1" t="s">
        <v>33</v>
      </c>
      <c r="K31" s="5">
        <f>+527122587936</f>
        <v>527122587936</v>
      </c>
      <c r="L31" s="1" t="s">
        <v>93</v>
      </c>
      <c r="M31" s="1" t="s">
        <v>68</v>
      </c>
      <c r="N31" s="1" t="s">
        <v>97</v>
      </c>
      <c r="P31" s="1">
        <v>0.0</v>
      </c>
      <c r="R31" s="1" t="s">
        <v>36</v>
      </c>
      <c r="S31" s="1" t="s">
        <v>36</v>
      </c>
      <c r="U31" s="1" t="s">
        <v>37</v>
      </c>
      <c r="V31" s="1">
        <v>24.0</v>
      </c>
      <c r="W31" s="1">
        <v>32.0</v>
      </c>
      <c r="X31" s="1">
        <v>56.0</v>
      </c>
      <c r="Y31" s="1" t="s">
        <v>51</v>
      </c>
      <c r="AA31" s="1" t="s">
        <v>39</v>
      </c>
      <c r="AB31" s="1">
        <v>0.0</v>
      </c>
      <c r="AC31" s="1">
        <v>0.0</v>
      </c>
      <c r="AD31" s="1">
        <v>0.0</v>
      </c>
      <c r="AE31" s="4">
        <v>0.475</v>
      </c>
      <c r="AF31" s="1" t="s">
        <v>40</v>
      </c>
    </row>
    <row r="32">
      <c r="B32" s="2">
        <v>46183.0</v>
      </c>
      <c r="C32" s="3">
        <v>0.375</v>
      </c>
      <c r="D32" s="3">
        <v>0.3888888888888889</v>
      </c>
      <c r="E32" s="3">
        <v>0.375</v>
      </c>
      <c r="F32" s="3">
        <v>0.4201388888888889</v>
      </c>
      <c r="H32" s="1" t="s">
        <v>98</v>
      </c>
      <c r="J32" s="1" t="s">
        <v>33</v>
      </c>
      <c r="K32" s="1" t="s">
        <v>99</v>
      </c>
      <c r="L32" s="1" t="s">
        <v>53</v>
      </c>
      <c r="M32" s="1" t="s">
        <v>35</v>
      </c>
      <c r="N32" s="1" t="s">
        <v>50</v>
      </c>
      <c r="P32" s="1">
        <v>0.0</v>
      </c>
      <c r="Q32" s="1">
        <v>0.0</v>
      </c>
      <c r="R32" s="1" t="s">
        <v>36</v>
      </c>
      <c r="S32" s="1" t="s">
        <v>36</v>
      </c>
      <c r="U32" s="1" t="s">
        <v>37</v>
      </c>
      <c r="V32" s="1">
        <v>27.0</v>
      </c>
      <c r="W32" s="1">
        <v>38.0</v>
      </c>
      <c r="X32" s="1">
        <v>65.0</v>
      </c>
      <c r="Y32" s="1" t="s">
        <v>51</v>
      </c>
      <c r="AA32" s="1" t="s">
        <v>39</v>
      </c>
      <c r="AB32" s="1">
        <v>0.0</v>
      </c>
      <c r="AC32" s="1">
        <v>0.0</v>
      </c>
      <c r="AD32" s="1">
        <v>0.0</v>
      </c>
      <c r="AE32" s="4">
        <v>0.39375</v>
      </c>
      <c r="AF32" s="1" t="s">
        <v>40</v>
      </c>
    </row>
    <row r="33">
      <c r="B33" s="2">
        <v>46182.0</v>
      </c>
      <c r="C33" s="3">
        <v>0.3333333333333333</v>
      </c>
      <c r="D33" s="3">
        <v>0.3541666666666667</v>
      </c>
      <c r="E33" s="3">
        <v>0.3333333333333333</v>
      </c>
      <c r="F33" s="3">
        <v>0.3840277777777778</v>
      </c>
      <c r="H33" s="1" t="s">
        <v>100</v>
      </c>
      <c r="J33" s="1" t="s">
        <v>33</v>
      </c>
      <c r="K33" s="1">
        <v>8.120305761E9</v>
      </c>
      <c r="L33" s="1" t="s">
        <v>80</v>
      </c>
      <c r="M33" s="1" t="s">
        <v>47</v>
      </c>
      <c r="N33" s="1" t="s">
        <v>50</v>
      </c>
      <c r="P33" s="1">
        <v>0.0</v>
      </c>
      <c r="Q33" s="1">
        <v>0.0</v>
      </c>
      <c r="R33" s="1" t="s">
        <v>36</v>
      </c>
      <c r="S33" s="1" t="s">
        <v>36</v>
      </c>
      <c r="U33" s="1" t="s">
        <v>37</v>
      </c>
      <c r="V33" s="1">
        <v>8.0</v>
      </c>
      <c r="W33" s="1">
        <v>65.0</v>
      </c>
      <c r="X33" s="1">
        <v>73.0</v>
      </c>
      <c r="Y33" s="1" t="s">
        <v>51</v>
      </c>
      <c r="AA33" s="1" t="s">
        <v>39</v>
      </c>
      <c r="AB33" s="1">
        <v>0.0</v>
      </c>
      <c r="AC33" s="1">
        <v>0.0</v>
      </c>
      <c r="AD33" s="1">
        <v>0.0</v>
      </c>
      <c r="AE33" s="4">
        <v>0.3388888888888889</v>
      </c>
      <c r="AF33" s="1" t="s">
        <v>40</v>
      </c>
    </row>
    <row r="34">
      <c r="B34" s="2">
        <v>46182.0</v>
      </c>
      <c r="C34" s="3">
        <v>0.375</v>
      </c>
      <c r="D34" s="3">
        <v>0.3888888888888889</v>
      </c>
      <c r="E34" s="3">
        <v>0.375</v>
      </c>
      <c r="F34" s="3">
        <v>0.41180555555555554</v>
      </c>
      <c r="G34" s="1">
        <v>2.15838553456E11</v>
      </c>
      <c r="H34" s="1" t="s">
        <v>79</v>
      </c>
      <c r="J34" s="1" t="s">
        <v>33</v>
      </c>
      <c r="K34" s="5">
        <f t="shared" ref="K34:K35" si="3">+527228517473</f>
        <v>527228517473</v>
      </c>
      <c r="L34" s="1" t="s">
        <v>46</v>
      </c>
      <c r="M34" s="1" t="s">
        <v>47</v>
      </c>
      <c r="N34" s="1" t="s">
        <v>50</v>
      </c>
      <c r="P34" s="6">
        <v>24225.0</v>
      </c>
      <c r="Q34" s="1">
        <v>0.0</v>
      </c>
      <c r="R34" s="1" t="s">
        <v>36</v>
      </c>
      <c r="S34" s="1" t="s">
        <v>36</v>
      </c>
      <c r="U34" s="1" t="s">
        <v>37</v>
      </c>
      <c r="V34" s="1">
        <v>16.0</v>
      </c>
      <c r="W34" s="1">
        <v>37.0</v>
      </c>
      <c r="X34" s="1">
        <v>53.0</v>
      </c>
      <c r="Y34" s="1" t="s">
        <v>51</v>
      </c>
      <c r="AA34" s="1" t="s">
        <v>39</v>
      </c>
      <c r="AB34" s="1">
        <v>0.0</v>
      </c>
      <c r="AC34" s="1">
        <v>0.0</v>
      </c>
      <c r="AD34" s="1">
        <v>0.0</v>
      </c>
      <c r="AE34" s="4">
        <v>0.3861111111111111</v>
      </c>
      <c r="AF34" s="1" t="s">
        <v>40</v>
      </c>
    </row>
    <row r="35">
      <c r="B35" s="2">
        <v>46182.0</v>
      </c>
      <c r="C35" s="3">
        <v>0.375</v>
      </c>
      <c r="D35" s="3">
        <v>0.3819444444444444</v>
      </c>
      <c r="E35" s="3">
        <v>0.375</v>
      </c>
      <c r="F35" s="3">
        <v>0.4111111111111111</v>
      </c>
      <c r="G35" s="1">
        <v>2.15838553456E11</v>
      </c>
      <c r="H35" s="1" t="s">
        <v>79</v>
      </c>
      <c r="I35" s="1" t="s">
        <v>101</v>
      </c>
      <c r="J35" s="1" t="s">
        <v>33</v>
      </c>
      <c r="K35" s="5">
        <f t="shared" si="3"/>
        <v>527228517473</v>
      </c>
      <c r="L35" s="1" t="s">
        <v>42</v>
      </c>
      <c r="M35" s="1" t="s">
        <v>43</v>
      </c>
      <c r="N35" s="1" t="s">
        <v>72</v>
      </c>
      <c r="P35" s="6">
        <v>24225.0</v>
      </c>
      <c r="Q35" s="1">
        <v>0.0</v>
      </c>
      <c r="R35" s="1" t="s">
        <v>45</v>
      </c>
      <c r="S35" s="1" t="s">
        <v>36</v>
      </c>
      <c r="U35" s="1" t="s">
        <v>37</v>
      </c>
      <c r="V35" s="1">
        <v>15.0</v>
      </c>
      <c r="W35" s="1">
        <v>37.0</v>
      </c>
      <c r="X35" s="1">
        <v>52.0</v>
      </c>
      <c r="Y35" s="1" t="s">
        <v>38</v>
      </c>
      <c r="AA35" s="1" t="s">
        <v>39</v>
      </c>
      <c r="AB35" s="1">
        <v>0.0</v>
      </c>
      <c r="AC35" s="1">
        <v>0.0</v>
      </c>
      <c r="AD35" s="1">
        <v>0.0</v>
      </c>
      <c r="AE35" s="4">
        <v>0.3854166666666667</v>
      </c>
      <c r="AF35" s="1" t="s">
        <v>40</v>
      </c>
    </row>
    <row r="36">
      <c r="B36" s="2">
        <v>46182.0</v>
      </c>
      <c r="C36" s="3">
        <v>0.4166666666666667</v>
      </c>
      <c r="D36" s="3">
        <v>0.4583333333333333</v>
      </c>
      <c r="E36" s="3">
        <v>0.4166666666666667</v>
      </c>
      <c r="F36" s="3">
        <v>0.46805555555555556</v>
      </c>
      <c r="H36" s="1" t="s">
        <v>60</v>
      </c>
      <c r="J36" s="1" t="s">
        <v>33</v>
      </c>
      <c r="K36" s="1">
        <v>7.226207156E9</v>
      </c>
      <c r="L36" s="1" t="s">
        <v>102</v>
      </c>
      <c r="M36" s="1" t="s">
        <v>56</v>
      </c>
      <c r="N36" s="1" t="s">
        <v>50</v>
      </c>
      <c r="P36" s="1">
        <v>0.0</v>
      </c>
      <c r="Q36" s="1">
        <v>0.0</v>
      </c>
      <c r="R36" s="1" t="s">
        <v>103</v>
      </c>
      <c r="S36" s="1" t="s">
        <v>36</v>
      </c>
      <c r="U36" s="1" t="s">
        <v>37</v>
      </c>
      <c r="V36" s="1">
        <v>21.0</v>
      </c>
      <c r="W36" s="1">
        <v>53.0</v>
      </c>
      <c r="X36" s="1">
        <v>74.0</v>
      </c>
      <c r="Y36" s="1" t="s">
        <v>51</v>
      </c>
      <c r="AA36" s="1" t="s">
        <v>39</v>
      </c>
      <c r="AB36" s="1">
        <v>0.0</v>
      </c>
      <c r="AC36" s="1">
        <v>0.0</v>
      </c>
      <c r="AD36" s="1">
        <v>0.0</v>
      </c>
      <c r="AE36" s="4">
        <v>0.43125</v>
      </c>
      <c r="AF36" s="1" t="s">
        <v>40</v>
      </c>
    </row>
    <row r="37">
      <c r="B37" s="2">
        <v>46182.0</v>
      </c>
      <c r="C37" s="3">
        <v>0.3958333333333333</v>
      </c>
      <c r="D37" s="3">
        <v>0.4166666666666667</v>
      </c>
      <c r="E37" s="3">
        <v>0.3958333333333333</v>
      </c>
      <c r="F37" s="3">
        <v>0.46805555555555556</v>
      </c>
      <c r="H37" s="1" t="s">
        <v>60</v>
      </c>
      <c r="J37" s="1" t="s">
        <v>33</v>
      </c>
      <c r="K37" s="1">
        <v>7.226207156E9</v>
      </c>
      <c r="L37" s="1" t="s">
        <v>104</v>
      </c>
      <c r="M37" s="1" t="s">
        <v>35</v>
      </c>
      <c r="N37" s="1" t="s">
        <v>50</v>
      </c>
      <c r="P37" s="1">
        <v>0.0</v>
      </c>
      <c r="Q37" s="1">
        <v>0.0</v>
      </c>
      <c r="R37" s="1" t="s">
        <v>36</v>
      </c>
      <c r="S37" s="1" t="s">
        <v>36</v>
      </c>
      <c r="U37" s="1" t="s">
        <v>37</v>
      </c>
      <c r="V37" s="1">
        <v>16.0</v>
      </c>
      <c r="W37" s="1">
        <v>88.0</v>
      </c>
      <c r="X37" s="1">
        <v>104.0</v>
      </c>
      <c r="Y37" s="1" t="s">
        <v>51</v>
      </c>
      <c r="AA37" s="1" t="s">
        <v>39</v>
      </c>
      <c r="AB37" s="1">
        <v>0.0</v>
      </c>
      <c r="AC37" s="1">
        <v>0.0</v>
      </c>
      <c r="AD37" s="1">
        <v>0.0</v>
      </c>
      <c r="AE37" s="4">
        <v>0.40694444444444444</v>
      </c>
      <c r="AF37" s="1" t="s">
        <v>40</v>
      </c>
    </row>
    <row r="38">
      <c r="B38" s="2">
        <v>46181.0</v>
      </c>
      <c r="C38" s="3">
        <v>0.5208333333333334</v>
      </c>
      <c r="D38" s="3">
        <v>0.5520833333333334</v>
      </c>
      <c r="E38" s="3">
        <v>0.5208333333333334</v>
      </c>
      <c r="F38" s="3">
        <v>0.5520833333333334</v>
      </c>
      <c r="G38" s="1">
        <v>2.18317952368E11</v>
      </c>
      <c r="H38" s="1" t="s">
        <v>105</v>
      </c>
      <c r="J38" s="1" t="s">
        <v>33</v>
      </c>
      <c r="K38" s="5">
        <f>+527222649635</f>
        <v>527222649635</v>
      </c>
      <c r="L38" s="1" t="s">
        <v>74</v>
      </c>
      <c r="M38" s="1" t="s">
        <v>43</v>
      </c>
      <c r="P38" s="1">
        <v>0.0</v>
      </c>
      <c r="Q38" s="1">
        <v>0.0</v>
      </c>
      <c r="R38" s="1" t="s">
        <v>75</v>
      </c>
      <c r="S38" s="1" t="s">
        <v>36</v>
      </c>
      <c r="U38" s="1" t="s">
        <v>37</v>
      </c>
      <c r="V38" s="1">
        <v>15.0</v>
      </c>
      <c r="W38" s="1">
        <v>30.0</v>
      </c>
      <c r="X38" s="1">
        <v>45.0</v>
      </c>
      <c r="Y38" s="1" t="s">
        <v>38</v>
      </c>
      <c r="AA38" s="1" t="s">
        <v>39</v>
      </c>
      <c r="AB38" s="1">
        <v>0.0</v>
      </c>
      <c r="AC38" s="1">
        <v>0.0</v>
      </c>
      <c r="AD38" s="1">
        <v>0.0</v>
      </c>
      <c r="AE38" s="4">
        <v>0.53125</v>
      </c>
      <c r="AF38" s="1" t="s">
        <v>40</v>
      </c>
    </row>
    <row r="39">
      <c r="B39" s="2">
        <v>46181.0</v>
      </c>
      <c r="C39" s="3">
        <v>0.4375</v>
      </c>
      <c r="D39" s="3">
        <v>0.4444444444444444</v>
      </c>
      <c r="E39" s="3">
        <v>0.4375</v>
      </c>
      <c r="F39" s="3">
        <v>0.49166666666666664</v>
      </c>
      <c r="G39" s="1">
        <v>2.0364885844E11</v>
      </c>
      <c r="H39" s="1" t="s">
        <v>48</v>
      </c>
      <c r="I39" s="1" t="s">
        <v>32</v>
      </c>
      <c r="J39" s="1" t="s">
        <v>33</v>
      </c>
      <c r="K39" s="5">
        <f>+527221044199</f>
        <v>527221044199</v>
      </c>
      <c r="L39" s="1" t="s">
        <v>42</v>
      </c>
      <c r="M39" s="1" t="s">
        <v>43</v>
      </c>
      <c r="N39" s="1" t="s">
        <v>106</v>
      </c>
      <c r="P39" s="1">
        <v>0.0</v>
      </c>
      <c r="Q39" s="1">
        <v>0.0</v>
      </c>
      <c r="R39" s="1" t="s">
        <v>45</v>
      </c>
      <c r="S39" s="1" t="s">
        <v>36</v>
      </c>
      <c r="U39" s="1" t="s">
        <v>37</v>
      </c>
      <c r="V39" s="1">
        <v>-26.0</v>
      </c>
      <c r="W39" s="1">
        <v>104.0</v>
      </c>
      <c r="X39" s="1">
        <v>78.0</v>
      </c>
      <c r="Y39" s="1" t="s">
        <v>38</v>
      </c>
      <c r="AA39" s="1" t="s">
        <v>39</v>
      </c>
      <c r="AB39" s="1">
        <v>0.0</v>
      </c>
      <c r="AC39" s="1">
        <v>0.0</v>
      </c>
      <c r="AD39" s="1">
        <v>0.0</v>
      </c>
      <c r="AE39" s="4">
        <v>0.41944444444444445</v>
      </c>
      <c r="AF39" s="1" t="s">
        <v>40</v>
      </c>
    </row>
    <row r="40">
      <c r="B40" s="2">
        <v>46181.0</v>
      </c>
      <c r="C40" s="3">
        <v>0.375</v>
      </c>
      <c r="D40" s="3">
        <v>0.3819444444444444</v>
      </c>
      <c r="E40" s="3">
        <v>0.375</v>
      </c>
      <c r="F40" s="3">
        <v>0.3416666666666667</v>
      </c>
      <c r="G40" s="1">
        <v>1.50583829836E11</v>
      </c>
      <c r="H40" s="1" t="s">
        <v>61</v>
      </c>
      <c r="J40" s="1" t="s">
        <v>33</v>
      </c>
      <c r="K40" s="1">
        <v>5.217223951207E12</v>
      </c>
      <c r="L40" s="1" t="s">
        <v>42</v>
      </c>
      <c r="M40" s="1" t="s">
        <v>43</v>
      </c>
      <c r="N40" s="1" t="s">
        <v>70</v>
      </c>
      <c r="P40" s="1">
        <v>0.0</v>
      </c>
      <c r="Q40" s="1">
        <v>0.0</v>
      </c>
      <c r="R40" s="1" t="s">
        <v>45</v>
      </c>
      <c r="S40" s="1" t="s">
        <v>36</v>
      </c>
      <c r="U40" s="1" t="s">
        <v>37</v>
      </c>
      <c r="V40" s="1">
        <v>0.0</v>
      </c>
      <c r="W40" s="1">
        <v>-48.0</v>
      </c>
      <c r="X40" s="1">
        <v>-48.0</v>
      </c>
      <c r="Y40" s="1" t="s">
        <v>38</v>
      </c>
      <c r="AA40" s="1" t="s">
        <v>39</v>
      </c>
      <c r="AB40" s="1">
        <v>0.0</v>
      </c>
      <c r="AC40" s="1">
        <v>0.0</v>
      </c>
      <c r="AD40" s="1">
        <v>0.0</v>
      </c>
      <c r="AE40" s="4">
        <v>0.375</v>
      </c>
      <c r="AF40" s="1" t="s">
        <v>40</v>
      </c>
    </row>
    <row r="41">
      <c r="B41" s="2">
        <v>46178.0</v>
      </c>
      <c r="C41" s="3">
        <v>0.375</v>
      </c>
      <c r="D41" s="3">
        <v>0.3819444444444444</v>
      </c>
      <c r="E41" s="3">
        <v>0.375</v>
      </c>
      <c r="F41" s="3">
        <v>0.39444444444444443</v>
      </c>
      <c r="G41" s="1">
        <v>2.14041217624E11</v>
      </c>
      <c r="H41" s="1" t="s">
        <v>82</v>
      </c>
      <c r="J41" s="1" t="s">
        <v>33</v>
      </c>
      <c r="K41" s="5">
        <f>+526671454884</f>
        <v>526671454884</v>
      </c>
      <c r="L41" s="1" t="s">
        <v>42</v>
      </c>
      <c r="M41" s="1" t="s">
        <v>43</v>
      </c>
      <c r="N41" s="1" t="s">
        <v>107</v>
      </c>
      <c r="P41" s="1">
        <v>0.0</v>
      </c>
      <c r="Q41" s="1">
        <v>0.0</v>
      </c>
      <c r="R41" s="1" t="s">
        <v>45</v>
      </c>
      <c r="S41" s="1" t="s">
        <v>36</v>
      </c>
      <c r="U41" s="1" t="s">
        <v>37</v>
      </c>
      <c r="V41" s="1">
        <v>3.0</v>
      </c>
      <c r="W41" s="1">
        <v>25.0</v>
      </c>
      <c r="X41" s="1">
        <v>28.0</v>
      </c>
      <c r="Y41" s="1" t="s">
        <v>51</v>
      </c>
      <c r="AA41" s="1" t="s">
        <v>39</v>
      </c>
      <c r="AB41" s="1">
        <v>0.0</v>
      </c>
      <c r="AC41" s="1">
        <v>0.0</v>
      </c>
      <c r="AD41" s="1">
        <v>0.0</v>
      </c>
      <c r="AE41" s="4">
        <v>0.3770833333333333</v>
      </c>
      <c r="AF41" s="1" t="s">
        <v>40</v>
      </c>
    </row>
    <row r="42">
      <c r="B42" s="2">
        <v>46178.0</v>
      </c>
      <c r="C42" s="3">
        <v>0.375</v>
      </c>
      <c r="D42" s="3">
        <v>0.4166666666666667</v>
      </c>
      <c r="E42" s="3">
        <v>0.375</v>
      </c>
      <c r="F42" s="3">
        <v>0.5263888888888889</v>
      </c>
      <c r="G42" s="1">
        <v>1.82211805994E11</v>
      </c>
      <c r="H42" s="1" t="s">
        <v>52</v>
      </c>
      <c r="J42" s="1" t="s">
        <v>33</v>
      </c>
      <c r="K42" s="5">
        <f>+525537571104</f>
        <v>525537571104</v>
      </c>
      <c r="L42" s="1" t="s">
        <v>55</v>
      </c>
      <c r="M42" s="1" t="s">
        <v>56</v>
      </c>
      <c r="N42" s="1" t="s">
        <v>54</v>
      </c>
      <c r="P42" s="1">
        <v>0.0</v>
      </c>
      <c r="Q42" s="1">
        <v>0.0</v>
      </c>
      <c r="R42" s="1" t="s">
        <v>57</v>
      </c>
      <c r="S42" s="1" t="s">
        <v>36</v>
      </c>
      <c r="U42" s="1" t="s">
        <v>37</v>
      </c>
      <c r="V42" s="1">
        <v>4.0</v>
      </c>
      <c r="W42" s="1">
        <v>214.0</v>
      </c>
      <c r="X42" s="1">
        <v>218.0</v>
      </c>
      <c r="Y42" s="1" t="s">
        <v>51</v>
      </c>
      <c r="AA42" s="1" t="s">
        <v>39</v>
      </c>
      <c r="AB42" s="1">
        <v>0.0</v>
      </c>
      <c r="AC42" s="1">
        <v>0.0</v>
      </c>
      <c r="AD42" s="1">
        <v>0.0</v>
      </c>
      <c r="AE42" s="4">
        <v>0.37777777777777777</v>
      </c>
      <c r="AF42" s="1" t="s">
        <v>40</v>
      </c>
    </row>
    <row r="43">
      <c r="B43" s="2">
        <v>46178.0</v>
      </c>
      <c r="C43" s="3">
        <v>0.3333333333333333</v>
      </c>
      <c r="D43" s="3">
        <v>0.375</v>
      </c>
      <c r="E43" s="3">
        <v>0.3333333333333333</v>
      </c>
      <c r="F43" s="3">
        <v>0.39375</v>
      </c>
      <c r="H43" s="1" t="s">
        <v>108</v>
      </c>
      <c r="J43" s="1" t="s">
        <v>33</v>
      </c>
      <c r="K43" s="1">
        <v>5.580312749E9</v>
      </c>
      <c r="L43" s="1" t="s">
        <v>109</v>
      </c>
      <c r="M43" s="1" t="s">
        <v>56</v>
      </c>
      <c r="N43" s="1" t="s">
        <v>54</v>
      </c>
      <c r="P43" s="1">
        <v>0.0</v>
      </c>
      <c r="Q43" s="1">
        <v>0.0</v>
      </c>
      <c r="R43" s="1" t="s">
        <v>57</v>
      </c>
      <c r="S43" s="1" t="s">
        <v>36</v>
      </c>
      <c r="U43" s="1" t="s">
        <v>37</v>
      </c>
      <c r="V43" s="1">
        <v>27.0</v>
      </c>
      <c r="W43" s="1">
        <v>60.0</v>
      </c>
      <c r="X43" s="1">
        <v>87.0</v>
      </c>
      <c r="Y43" s="1" t="s">
        <v>51</v>
      </c>
      <c r="AA43" s="1" t="s">
        <v>39</v>
      </c>
      <c r="AB43" s="1">
        <v>0.0</v>
      </c>
      <c r="AC43" s="1">
        <v>0.0</v>
      </c>
      <c r="AD43" s="1">
        <v>0.0</v>
      </c>
      <c r="AE43" s="4">
        <v>0.35208333333333336</v>
      </c>
      <c r="AF43" s="1" t="s">
        <v>40</v>
      </c>
    </row>
    <row r="44">
      <c r="B44" s="2">
        <v>46177.0</v>
      </c>
      <c r="C44" s="3">
        <v>0.375</v>
      </c>
      <c r="D44" s="3">
        <v>0.4166666666666667</v>
      </c>
      <c r="E44" s="3">
        <v>0.375</v>
      </c>
      <c r="F44" s="3">
        <v>0.43819444444444444</v>
      </c>
      <c r="H44" s="1" t="s">
        <v>110</v>
      </c>
      <c r="J44" s="1" t="s">
        <v>33</v>
      </c>
      <c r="K44" s="1" t="s">
        <v>111</v>
      </c>
      <c r="L44" s="1" t="s">
        <v>93</v>
      </c>
      <c r="M44" s="1" t="s">
        <v>68</v>
      </c>
      <c r="N44" s="1" t="s">
        <v>112</v>
      </c>
      <c r="P44" s="1">
        <v>0.0</v>
      </c>
      <c r="R44" s="1" t="s">
        <v>36</v>
      </c>
      <c r="S44" s="1" t="s">
        <v>36</v>
      </c>
      <c r="U44" s="1" t="s">
        <v>37</v>
      </c>
      <c r="V44" s="1">
        <v>90.0</v>
      </c>
      <c r="W44" s="1">
        <v>1.0</v>
      </c>
      <c r="X44" s="1">
        <v>91.0</v>
      </c>
      <c r="Y44" s="1" t="s">
        <v>38</v>
      </c>
      <c r="AA44" s="1" t="s">
        <v>39</v>
      </c>
      <c r="AB44" s="1">
        <v>0.0</v>
      </c>
      <c r="AC44" s="1">
        <v>0.0</v>
      </c>
      <c r="AD44" s="1">
        <v>0.0</v>
      </c>
      <c r="AE44" s="4">
        <v>0.4375</v>
      </c>
      <c r="AF44" s="1" t="s">
        <v>40</v>
      </c>
    </row>
    <row r="45">
      <c r="B45" s="2">
        <v>46177.0</v>
      </c>
      <c r="C45" s="3">
        <v>0.3333333333333333</v>
      </c>
      <c r="D45" s="3">
        <v>0.3402777777777778</v>
      </c>
      <c r="E45" s="3">
        <v>0.3333333333333333</v>
      </c>
      <c r="F45" s="3">
        <v>0.35833333333333334</v>
      </c>
      <c r="G45" s="1">
        <v>1.79483889727E11</v>
      </c>
      <c r="H45" s="1" t="s">
        <v>81</v>
      </c>
      <c r="J45" s="1" t="s">
        <v>33</v>
      </c>
      <c r="K45" s="5">
        <f>+527223877418</f>
        <v>527223877418</v>
      </c>
      <c r="L45" s="1" t="s">
        <v>42</v>
      </c>
      <c r="M45" s="1" t="s">
        <v>43</v>
      </c>
      <c r="N45" s="1" t="s">
        <v>113</v>
      </c>
      <c r="P45" s="1">
        <v>0.0</v>
      </c>
      <c r="Q45" s="1">
        <v>0.0</v>
      </c>
      <c r="R45" s="1" t="s">
        <v>45</v>
      </c>
      <c r="S45" s="1" t="s">
        <v>36</v>
      </c>
      <c r="U45" s="1" t="s">
        <v>37</v>
      </c>
      <c r="V45" s="1">
        <v>15.0</v>
      </c>
      <c r="W45" s="1">
        <v>21.0</v>
      </c>
      <c r="X45" s="1">
        <v>36.0</v>
      </c>
      <c r="Y45" s="1" t="s">
        <v>38</v>
      </c>
      <c r="AA45" s="1" t="s">
        <v>39</v>
      </c>
      <c r="AB45" s="1">
        <v>0.0</v>
      </c>
      <c r="AC45" s="1">
        <v>0.0</v>
      </c>
      <c r="AD45" s="1">
        <v>0.0</v>
      </c>
      <c r="AE45" s="4">
        <v>0.34375</v>
      </c>
      <c r="AF45" s="1" t="s">
        <v>40</v>
      </c>
    </row>
    <row r="46">
      <c r="B46" s="2">
        <v>46177.0</v>
      </c>
      <c r="C46" s="3">
        <v>0.4583333333333333</v>
      </c>
      <c r="D46" s="3">
        <v>0.4791666666666667</v>
      </c>
      <c r="E46" s="3">
        <v>0.4583333333333333</v>
      </c>
      <c r="F46" s="3">
        <v>0.5118055555555555</v>
      </c>
      <c r="H46" s="1" t="s">
        <v>60</v>
      </c>
      <c r="J46" s="1" t="s">
        <v>33</v>
      </c>
      <c r="K46" s="1">
        <v>7.226207156E9</v>
      </c>
      <c r="L46" s="1" t="s">
        <v>104</v>
      </c>
      <c r="M46" s="1" t="s">
        <v>35</v>
      </c>
      <c r="N46" s="1" t="s">
        <v>50</v>
      </c>
      <c r="P46" s="1">
        <v>0.0</v>
      </c>
      <c r="Q46" s="1">
        <v>0.0</v>
      </c>
      <c r="R46" s="1" t="s">
        <v>36</v>
      </c>
      <c r="S46" s="1" t="s">
        <v>36</v>
      </c>
      <c r="U46" s="1" t="s">
        <v>37</v>
      </c>
      <c r="V46" s="1">
        <v>5.0</v>
      </c>
      <c r="W46" s="1">
        <v>72.0</v>
      </c>
      <c r="X46" s="1">
        <v>77.0</v>
      </c>
      <c r="Y46" s="1" t="s">
        <v>51</v>
      </c>
      <c r="AA46" s="1" t="s">
        <v>39</v>
      </c>
      <c r="AB46" s="1">
        <v>0.0</v>
      </c>
      <c r="AC46" s="1">
        <v>0.0</v>
      </c>
      <c r="AD46" s="1">
        <v>0.0</v>
      </c>
      <c r="AE46" s="4">
        <v>0.4618055555555556</v>
      </c>
      <c r="AF46" s="1" t="s">
        <v>40</v>
      </c>
    </row>
    <row r="47">
      <c r="B47" s="2">
        <v>46177.0</v>
      </c>
      <c r="C47" s="3">
        <v>0.5</v>
      </c>
      <c r="D47" s="3">
        <v>0.5416666666666666</v>
      </c>
      <c r="E47" s="3">
        <v>0.5</v>
      </c>
      <c r="F47" s="3">
        <v>0.5666666666666667</v>
      </c>
      <c r="G47" s="1">
        <v>2.22609024891E11</v>
      </c>
      <c r="H47" s="1" t="s">
        <v>114</v>
      </c>
      <c r="J47" s="1" t="s">
        <v>33</v>
      </c>
      <c r="K47" s="5">
        <f>+527151029544</f>
        <v>527151029544</v>
      </c>
      <c r="L47" s="1" t="s">
        <v>115</v>
      </c>
      <c r="M47" s="1" t="s">
        <v>68</v>
      </c>
      <c r="N47" s="1" t="s">
        <v>116</v>
      </c>
      <c r="P47" s="1">
        <v>0.0</v>
      </c>
      <c r="R47" s="1" t="s">
        <v>36</v>
      </c>
      <c r="S47" s="1" t="s">
        <v>36</v>
      </c>
      <c r="U47" s="1" t="s">
        <v>37</v>
      </c>
      <c r="V47" s="1">
        <v>38.0</v>
      </c>
      <c r="W47" s="1">
        <v>58.0</v>
      </c>
      <c r="X47" s="1">
        <v>96.0</v>
      </c>
      <c r="Y47" s="1" t="s">
        <v>51</v>
      </c>
      <c r="AA47" s="1" t="s">
        <v>39</v>
      </c>
      <c r="AB47" s="1">
        <v>0.0</v>
      </c>
      <c r="AC47" s="1">
        <v>0.0</v>
      </c>
      <c r="AD47" s="1">
        <v>0.0</v>
      </c>
      <c r="AE47" s="4">
        <v>0.5263888888888889</v>
      </c>
      <c r="AF47" s="1" t="s">
        <v>40</v>
      </c>
    </row>
    <row r="48">
      <c r="B48" s="2">
        <v>46176.0</v>
      </c>
      <c r="C48" s="3">
        <v>0.4583333333333333</v>
      </c>
      <c r="D48" s="3">
        <v>0.5</v>
      </c>
      <c r="E48" s="3">
        <v>0.4583333333333333</v>
      </c>
      <c r="F48" s="3">
        <v>0.5173611111111112</v>
      </c>
      <c r="G48" s="1">
        <v>1.69860999307E11</v>
      </c>
      <c r="H48" s="1" t="s">
        <v>117</v>
      </c>
      <c r="J48" s="1" t="s">
        <v>33</v>
      </c>
      <c r="K48" s="5">
        <f>+526674956629</f>
        <v>526674956629</v>
      </c>
      <c r="L48" s="1" t="s">
        <v>118</v>
      </c>
      <c r="M48" s="1" t="s">
        <v>68</v>
      </c>
      <c r="N48" s="1" t="s">
        <v>119</v>
      </c>
      <c r="P48" s="1">
        <v>0.0</v>
      </c>
      <c r="R48" s="1" t="s">
        <v>36</v>
      </c>
      <c r="S48" s="1" t="s">
        <v>36</v>
      </c>
      <c r="U48" s="1" t="s">
        <v>37</v>
      </c>
      <c r="V48" s="1">
        <v>1.0</v>
      </c>
      <c r="W48" s="1">
        <v>84.0</v>
      </c>
      <c r="X48" s="1">
        <v>85.0</v>
      </c>
      <c r="Y48" s="1" t="s">
        <v>51</v>
      </c>
      <c r="AA48" s="1" t="s">
        <v>39</v>
      </c>
      <c r="AB48" s="1">
        <v>0.0</v>
      </c>
      <c r="AC48" s="1">
        <v>0.0</v>
      </c>
      <c r="AD48" s="1">
        <v>0.0</v>
      </c>
      <c r="AE48" s="4">
        <v>0.45902777777777776</v>
      </c>
      <c r="AF48" s="1" t="s">
        <v>40</v>
      </c>
    </row>
    <row r="49">
      <c r="B49" s="2">
        <v>46176.0</v>
      </c>
      <c r="C49" s="3">
        <v>0.375</v>
      </c>
      <c r="D49" s="3">
        <v>0.4166666666666667</v>
      </c>
      <c r="E49" s="3">
        <v>0.375</v>
      </c>
      <c r="F49" s="3">
        <v>0.42430555555555555</v>
      </c>
      <c r="H49" s="1" t="s">
        <v>120</v>
      </c>
      <c r="J49" s="1" t="s">
        <v>33</v>
      </c>
      <c r="K49" s="1">
        <v>5.27221660723E11</v>
      </c>
      <c r="L49" s="1" t="s">
        <v>67</v>
      </c>
      <c r="M49" s="1" t="s">
        <v>68</v>
      </c>
      <c r="N49" s="1" t="s">
        <v>50</v>
      </c>
      <c r="P49" s="1">
        <v>0.0</v>
      </c>
      <c r="Q49" s="1">
        <v>0.0</v>
      </c>
      <c r="R49" s="1" t="s">
        <v>36</v>
      </c>
      <c r="S49" s="1" t="s">
        <v>36</v>
      </c>
      <c r="U49" s="1" t="s">
        <v>37</v>
      </c>
      <c r="V49" s="1">
        <v>5.0</v>
      </c>
      <c r="W49" s="1">
        <v>66.0</v>
      </c>
      <c r="X49" s="1">
        <v>71.0</v>
      </c>
      <c r="Y49" s="1" t="s">
        <v>51</v>
      </c>
      <c r="AA49" s="1" t="s">
        <v>39</v>
      </c>
      <c r="AB49" s="1">
        <v>0.0</v>
      </c>
      <c r="AC49" s="1">
        <v>0.0</v>
      </c>
      <c r="AD49" s="1">
        <v>0.0</v>
      </c>
      <c r="AE49" s="4">
        <v>0.3784722222222222</v>
      </c>
      <c r="AF49" s="1" t="s">
        <v>40</v>
      </c>
    </row>
    <row r="50">
      <c r="B50" s="2">
        <v>46176.0</v>
      </c>
      <c r="C50" s="3">
        <v>0.3541666666666667</v>
      </c>
      <c r="D50" s="3">
        <v>0.375</v>
      </c>
      <c r="E50" s="3">
        <v>0.3541666666666667</v>
      </c>
      <c r="F50" s="3">
        <v>0.4048611111111111</v>
      </c>
      <c r="G50" s="1">
        <v>1.79483889727E11</v>
      </c>
      <c r="H50" s="1" t="s">
        <v>81</v>
      </c>
      <c r="J50" s="1" t="s">
        <v>33</v>
      </c>
      <c r="K50" s="5">
        <f>+527223877418</f>
        <v>527223877418</v>
      </c>
      <c r="L50" s="1" t="s">
        <v>104</v>
      </c>
      <c r="M50" s="1" t="s">
        <v>35</v>
      </c>
      <c r="N50" s="1" t="s">
        <v>50</v>
      </c>
      <c r="P50" s="1">
        <v>0.0</v>
      </c>
      <c r="Q50" s="1">
        <v>0.0</v>
      </c>
      <c r="R50" s="1" t="s">
        <v>36</v>
      </c>
      <c r="S50" s="1" t="s">
        <v>36</v>
      </c>
      <c r="U50" s="1" t="s">
        <v>37</v>
      </c>
      <c r="V50" s="1">
        <v>5.0</v>
      </c>
      <c r="W50" s="1">
        <v>68.0</v>
      </c>
      <c r="X50" s="1">
        <v>73.0</v>
      </c>
      <c r="Y50" s="1" t="s">
        <v>51</v>
      </c>
      <c r="AA50" s="1" t="s">
        <v>39</v>
      </c>
      <c r="AB50" s="1">
        <v>0.0</v>
      </c>
      <c r="AC50" s="1">
        <v>0.0</v>
      </c>
      <c r="AD50" s="1">
        <v>0.0</v>
      </c>
      <c r="AE50" s="4">
        <v>0.3576388888888889</v>
      </c>
      <c r="AF50" s="1" t="s">
        <v>40</v>
      </c>
    </row>
    <row r="51">
      <c r="B51" s="2">
        <v>46176.0</v>
      </c>
      <c r="C51" s="3">
        <v>0.5</v>
      </c>
      <c r="D51" s="3">
        <v>0.5208333333333334</v>
      </c>
      <c r="E51" s="3">
        <v>0.4597222222222222</v>
      </c>
      <c r="F51" s="3">
        <v>0.5180555555555556</v>
      </c>
      <c r="G51" s="1">
        <v>2.14041217624E11</v>
      </c>
      <c r="H51" s="1" t="s">
        <v>82</v>
      </c>
      <c r="J51" s="1" t="s">
        <v>33</v>
      </c>
      <c r="K51" s="5">
        <f>+526671454884</f>
        <v>526671454884</v>
      </c>
      <c r="L51" s="1" t="s">
        <v>78</v>
      </c>
      <c r="M51" s="1" t="s">
        <v>47</v>
      </c>
      <c r="N51" s="1" t="s">
        <v>50</v>
      </c>
      <c r="P51" s="1">
        <v>0.0</v>
      </c>
      <c r="Q51" s="1">
        <v>0.0</v>
      </c>
      <c r="R51" s="1" t="s">
        <v>36</v>
      </c>
      <c r="S51" s="1" t="s">
        <v>36</v>
      </c>
      <c r="U51" s="1" t="s">
        <v>37</v>
      </c>
      <c r="V51" s="1">
        <v>47.0</v>
      </c>
      <c r="W51" s="1">
        <v>37.0</v>
      </c>
      <c r="X51" s="1">
        <v>84.0</v>
      </c>
      <c r="Y51" s="1" t="s">
        <v>51</v>
      </c>
      <c r="AA51" s="1" t="s">
        <v>39</v>
      </c>
      <c r="AB51" s="1">
        <v>0.0</v>
      </c>
      <c r="AC51" s="1">
        <v>0.0</v>
      </c>
      <c r="AD51" s="1">
        <v>0.0</v>
      </c>
      <c r="AE51" s="4">
        <v>0.49236111111111114</v>
      </c>
      <c r="AF51" s="1" t="s">
        <v>40</v>
      </c>
    </row>
    <row r="52">
      <c r="B52" s="2">
        <v>46175.0</v>
      </c>
      <c r="C52" s="3">
        <v>0.375</v>
      </c>
      <c r="D52" s="3">
        <v>0.3819444444444444</v>
      </c>
      <c r="E52" s="3">
        <v>0.375</v>
      </c>
      <c r="F52" s="3">
        <v>0.3854166666666667</v>
      </c>
      <c r="G52" s="1">
        <v>1.99496503594E11</v>
      </c>
      <c r="H52" s="1" t="s">
        <v>121</v>
      </c>
      <c r="I52" s="1" t="s">
        <v>32</v>
      </c>
      <c r="J52" s="1" t="s">
        <v>33</v>
      </c>
      <c r="K52" s="1">
        <v>7.224186626E9</v>
      </c>
      <c r="L52" s="1" t="s">
        <v>42</v>
      </c>
      <c r="M52" s="1" t="s">
        <v>43</v>
      </c>
      <c r="N52" s="1" t="s">
        <v>122</v>
      </c>
      <c r="P52" s="1">
        <v>0.0</v>
      </c>
      <c r="R52" s="1" t="s">
        <v>45</v>
      </c>
      <c r="S52" s="1" t="s">
        <v>36</v>
      </c>
      <c r="U52" s="1" t="s">
        <v>37</v>
      </c>
      <c r="V52" s="1">
        <v>0.0</v>
      </c>
      <c r="W52" s="1">
        <v>15.0</v>
      </c>
      <c r="X52" s="1">
        <v>15.0</v>
      </c>
      <c r="Y52" s="1" t="s">
        <v>38</v>
      </c>
      <c r="AA52" s="1" t="s">
        <v>39</v>
      </c>
      <c r="AB52" s="1">
        <v>0.0</v>
      </c>
      <c r="AC52" s="1">
        <v>0.0</v>
      </c>
      <c r="AD52" s="1">
        <v>0.0</v>
      </c>
      <c r="AE52" s="4">
        <v>0.375</v>
      </c>
      <c r="AF52" s="1" t="s">
        <v>40</v>
      </c>
    </row>
    <row r="53">
      <c r="B53" s="2">
        <v>46174.0</v>
      </c>
      <c r="C53" s="3">
        <v>0.4166666666666667</v>
      </c>
      <c r="D53" s="3">
        <v>0.4375</v>
      </c>
      <c r="E53" s="3">
        <v>0.4166666666666667</v>
      </c>
      <c r="F53" s="3">
        <v>0.4777777777777778</v>
      </c>
      <c r="H53" s="1" t="s">
        <v>60</v>
      </c>
      <c r="J53" s="1" t="s">
        <v>33</v>
      </c>
      <c r="K53" s="1">
        <v>7.226207156E9</v>
      </c>
      <c r="L53" s="1" t="s">
        <v>104</v>
      </c>
      <c r="M53" s="1" t="s">
        <v>35</v>
      </c>
      <c r="N53" s="1" t="s">
        <v>50</v>
      </c>
      <c r="P53" s="1">
        <v>0.0</v>
      </c>
      <c r="Q53" s="1">
        <v>0.0</v>
      </c>
      <c r="R53" s="1" t="s">
        <v>36</v>
      </c>
      <c r="S53" s="1" t="s">
        <v>36</v>
      </c>
      <c r="U53" s="1" t="s">
        <v>37</v>
      </c>
      <c r="V53" s="1">
        <v>21.0</v>
      </c>
      <c r="W53" s="1">
        <v>67.0</v>
      </c>
      <c r="X53" s="1">
        <v>88.0</v>
      </c>
      <c r="Y53" s="1" t="s">
        <v>51</v>
      </c>
      <c r="AA53" s="1" t="s">
        <v>39</v>
      </c>
      <c r="AB53" s="1">
        <v>0.0</v>
      </c>
      <c r="AC53" s="1">
        <v>0.0</v>
      </c>
      <c r="AD53" s="1">
        <v>0.0</v>
      </c>
      <c r="AE53" s="4">
        <v>0.43125</v>
      </c>
      <c r="AF53" s="1" t="s">
        <v>40</v>
      </c>
    </row>
    <row r="54">
      <c r="B54" s="2">
        <v>46174.0</v>
      </c>
      <c r="C54" s="3">
        <v>0.4583333333333333</v>
      </c>
      <c r="D54" s="3">
        <v>0.4791666666666667</v>
      </c>
      <c r="E54" s="3">
        <v>0.42569444444444443</v>
      </c>
      <c r="F54" s="3">
        <v>0.45625</v>
      </c>
      <c r="G54" s="1">
        <v>2.0364885844E11</v>
      </c>
      <c r="H54" s="1" t="s">
        <v>48</v>
      </c>
      <c r="J54" s="1" t="s">
        <v>33</v>
      </c>
      <c r="K54" s="5">
        <f>+527221044199</f>
        <v>527221044199</v>
      </c>
      <c r="L54" s="1" t="s">
        <v>62</v>
      </c>
      <c r="M54" s="1" t="s">
        <v>47</v>
      </c>
      <c r="N54" s="1" t="s">
        <v>50</v>
      </c>
      <c r="P54" s="1">
        <v>0.0</v>
      </c>
      <c r="Q54" s="1">
        <v>0.0</v>
      </c>
      <c r="R54" s="1" t="s">
        <v>36</v>
      </c>
      <c r="S54" s="1" t="s">
        <v>36</v>
      </c>
      <c r="U54" s="1" t="s">
        <v>37</v>
      </c>
      <c r="V54" s="1">
        <v>30.0</v>
      </c>
      <c r="W54" s="1">
        <v>14.0</v>
      </c>
      <c r="X54" s="1">
        <v>44.0</v>
      </c>
      <c r="Y54" s="1" t="s">
        <v>51</v>
      </c>
      <c r="AA54" s="1" t="s">
        <v>39</v>
      </c>
      <c r="AB54" s="1">
        <v>0.0</v>
      </c>
      <c r="AC54" s="1">
        <v>0.0</v>
      </c>
      <c r="AD54" s="1">
        <v>0.0</v>
      </c>
      <c r="AE54" s="4">
        <v>0.4465277777777778</v>
      </c>
      <c r="AF54" s="1" t="s">
        <v>40</v>
      </c>
    </row>
    <row r="55">
      <c r="B55" s="2">
        <v>46174.0</v>
      </c>
      <c r="C55" s="3">
        <v>0.4375</v>
      </c>
      <c r="D55" s="3">
        <v>0.4583333333333333</v>
      </c>
      <c r="E55" s="3">
        <v>0.4375</v>
      </c>
      <c r="F55" s="3">
        <v>0.3902777777777778</v>
      </c>
      <c r="G55" s="1">
        <v>1.79483889727E11</v>
      </c>
      <c r="H55" s="1" t="s">
        <v>81</v>
      </c>
      <c r="J55" s="1" t="s">
        <v>33</v>
      </c>
      <c r="K55" s="5">
        <f>+527223877418</f>
        <v>527223877418</v>
      </c>
      <c r="L55" s="1" t="s">
        <v>104</v>
      </c>
      <c r="M55" s="1" t="s">
        <v>35</v>
      </c>
      <c r="N55" s="1" t="s">
        <v>50</v>
      </c>
      <c r="P55" s="1">
        <v>0.0</v>
      </c>
      <c r="Q55" s="1">
        <v>0.0</v>
      </c>
      <c r="R55" s="1" t="s">
        <v>36</v>
      </c>
      <c r="S55" s="1" t="s">
        <v>36</v>
      </c>
      <c r="U55" s="1" t="s">
        <v>37</v>
      </c>
      <c r="V55" s="1">
        <v>-100.0</v>
      </c>
      <c r="W55" s="1">
        <v>32.0</v>
      </c>
      <c r="X55" s="1">
        <v>-68.0</v>
      </c>
      <c r="Y55" s="1" t="s">
        <v>51</v>
      </c>
      <c r="AA55" s="1" t="s">
        <v>39</v>
      </c>
      <c r="AB55" s="1">
        <v>0.0</v>
      </c>
      <c r="AC55" s="1">
        <v>0.0</v>
      </c>
      <c r="AD55" s="1">
        <v>0.0</v>
      </c>
      <c r="AE55" s="4">
        <v>0.3680555555555556</v>
      </c>
      <c r="AF55" s="1" t="s">
        <v>40</v>
      </c>
    </row>
    <row r="56">
      <c r="B56" s="2">
        <v>46174.0</v>
      </c>
      <c r="C56" s="3">
        <v>0.5</v>
      </c>
      <c r="D56" s="3">
        <v>0.5208333333333334</v>
      </c>
      <c r="E56" s="3">
        <v>0.5</v>
      </c>
      <c r="F56" s="3">
        <v>0.5104166666666666</v>
      </c>
      <c r="H56" s="1" t="s">
        <v>123</v>
      </c>
      <c r="J56" s="1" t="s">
        <v>33</v>
      </c>
      <c r="K56" s="1">
        <v>7.224140293E9</v>
      </c>
      <c r="L56" s="1" t="s">
        <v>62</v>
      </c>
      <c r="M56" s="1" t="s">
        <v>47</v>
      </c>
      <c r="N56" s="1" t="s">
        <v>50</v>
      </c>
      <c r="P56" s="1">
        <v>0.0</v>
      </c>
      <c r="R56" s="1" t="s">
        <v>36</v>
      </c>
      <c r="S56" s="1" t="s">
        <v>36</v>
      </c>
      <c r="U56" s="1" t="s">
        <v>37</v>
      </c>
      <c r="V56" s="1">
        <v>3.0</v>
      </c>
      <c r="W56" s="1">
        <v>12.0</v>
      </c>
      <c r="X56" s="1">
        <v>15.0</v>
      </c>
      <c r="Y56" s="1" t="s">
        <v>51</v>
      </c>
      <c r="AA56" s="1" t="s">
        <v>39</v>
      </c>
      <c r="AB56" s="1">
        <v>0.0</v>
      </c>
      <c r="AC56" s="1">
        <v>0.0</v>
      </c>
      <c r="AD56" s="1">
        <v>0.0</v>
      </c>
      <c r="AE56" s="4">
        <v>0.5020833333333333</v>
      </c>
      <c r="AF56" s="1" t="s">
        <v>40</v>
      </c>
    </row>
  </sheetData>
  <drawing r:id="rId1"/>
</worksheet>
</file>