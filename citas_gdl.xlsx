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nio 15 al 24" sheetId="1" r:id="rId5"/>
  </sheets>
  <definedNames/>
  <calcPr/>
</workbook>
</file>

<file path=xl/sharedStrings.xml><?xml version="1.0" encoding="utf-8"?>
<sst xmlns="http://schemas.openxmlformats.org/spreadsheetml/2006/main" count="3934" uniqueCount="525">
  <si>
    <t>Ale.</t>
  </si>
  <si>
    <t>Fecha</t>
  </si>
  <si>
    <t>Hora</t>
  </si>
  <si>
    <t>H. Fin</t>
  </si>
  <si>
    <t>S. Espe.</t>
  </si>
  <si>
    <t>H. Term.</t>
  </si>
  <si>
    <t>NHC</t>
  </si>
  <si>
    <t>Apellidos, Nombre</t>
  </si>
  <si>
    <t>Sala</t>
  </si>
  <si>
    <t>Estado</t>
  </si>
  <si>
    <t>Teléfono</t>
  </si>
  <si>
    <t>Concepto</t>
  </si>
  <si>
    <t>Grupo de conceptos</t>
  </si>
  <si>
    <t>Obs.</t>
  </si>
  <si>
    <t>Ord. Fact</t>
  </si>
  <si>
    <t>Saldo</t>
  </si>
  <si>
    <t>Saldo pareja</t>
  </si>
  <si>
    <t>Profesional</t>
  </si>
  <si>
    <t>Profesional Historia</t>
  </si>
  <si>
    <t>Entidad (Colectivo)</t>
  </si>
  <si>
    <t>Espera</t>
  </si>
  <si>
    <t>Consulta</t>
  </si>
  <si>
    <t>Total</t>
  </si>
  <si>
    <t>Usuario Crea</t>
  </si>
  <si>
    <t>Procedencia</t>
  </si>
  <si>
    <t>País</t>
  </si>
  <si>
    <t>Nº Cargos</t>
  </si>
  <si>
    <t>Facturables</t>
  </si>
  <si>
    <t>Facturado</t>
  </si>
  <si>
    <t>H. Consulta</t>
  </si>
  <si>
    <t>Delegación</t>
  </si>
  <si>
    <t>Vega Barajas, María Guadalupe</t>
  </si>
  <si>
    <t>Terminada</t>
  </si>
  <si>
    <t>Plática de resultados (15)</t>
  </si>
  <si>
    <t>Seguimiento</t>
  </si>
  <si>
    <t>Diana Duran</t>
  </si>
  <si>
    <t>CDMX</t>
  </si>
  <si>
    <t>GOGS000607AD6 ( Sandra Elisa González Godínez)</t>
  </si>
  <si>
    <t>Mexico</t>
  </si>
  <si>
    <t>FERTILIDAD INTEGRAL Guadalajara</t>
  </si>
  <si>
    <t>Colmenares Garcia, Diana Laura</t>
  </si>
  <si>
    <t>Toma de sangre</t>
  </si>
  <si>
    <t>Laboratorio</t>
  </si>
  <si>
    <t>HAM Incluida en check up de Fertilidad</t>
  </si>
  <si>
    <t>Enfermeria</t>
  </si>
  <si>
    <t>Carlos Parra</t>
  </si>
  <si>
    <t>OEMJ020829HP6 (  Julia Ximena Ortega Magaña)</t>
  </si>
  <si>
    <t>Fertility Check up Mujeres</t>
  </si>
  <si>
    <t>Primera Vez</t>
  </si>
  <si>
    <t>Check Up Fertilidad Mujer | Cobrar 2200</t>
  </si>
  <si>
    <t>()</t>
  </si>
  <si>
    <t>Rizo Perez, Carlos Adrian</t>
  </si>
  <si>
    <t>Muestra Espermática para Inseminación</t>
  </si>
  <si>
    <t>Laboratorio FIV/Andrología</t>
  </si>
  <si>
    <t>Yazmin Ramos</t>
  </si>
  <si>
    <t>Guadalajara</t>
  </si>
  <si>
    <t>SAVV000609Q5A ( Viviana Gabriela Sanchez Vazquez)</t>
  </si>
  <si>
    <t>Barrera Ambriz, Alejandra Elizabeth</t>
  </si>
  <si>
    <t>Inseminación intrauterina</t>
  </si>
  <si>
    <t>Consultorio</t>
  </si>
  <si>
    <t>(EX) Paciente: Alejandra Elizabth Barrera Ambriz  - Procedimiento: Inseminación Intrauterina - MT: Dra. Yazmin Ramos</t>
  </si>
  <si>
    <t>Ramos, Adriana</t>
  </si>
  <si>
    <t>Blanca Cardenas</t>
  </si>
  <si>
    <t>FUSA981129LK5 ( Aranza Fuentes)</t>
  </si>
  <si>
    <t>Estados Unidos de America</t>
  </si>
  <si>
    <t>León Vargas, Diana Laura</t>
  </si>
  <si>
    <t>Seguimiento folicular</t>
  </si>
  <si>
    <t>| Sales Team Booked</t>
  </si>
  <si>
    <t>| Self-Booked</t>
  </si>
  <si>
    <t>Beltran Mora, Maria del Rocio</t>
  </si>
  <si>
    <t>Norma Sharey Vazquez</t>
  </si>
  <si>
    <t>Garcia Cortes, Oscar Gilberto Nicolas</t>
  </si>
  <si>
    <t>Duarte Salazar, Lizbeth</t>
  </si>
  <si>
    <t>(EX) Paciente: Lizbeth Duarte Salazar  - Procedimiento: Inseminación Intrauterina - MT: Dra. Yazmin Ramos</t>
  </si>
  <si>
    <t>Gudiño Delgado, Luis Gerardo</t>
  </si>
  <si>
    <t>Espermatobioscopía (ED)</t>
  </si>
  <si>
    <t>(EX) MT: Dr. Emanuel Sanchez</t>
  </si>
  <si>
    <t>Emanuel Sanchez</t>
  </si>
  <si>
    <t>MULM9511306V2 ( Margarita Muñoz)</t>
  </si>
  <si>
    <t>Zavala Villafuerte, Alejandra</t>
  </si>
  <si>
    <t>HAM INCLUIDA EN CHECK UP DE FERTILIDAD</t>
  </si>
  <si>
    <t>SAGJ010510RM0 (  Joselyne Saldaña García)</t>
  </si>
  <si>
    <t>Quiñonez Ramirez, Citlalli Vanessa</t>
  </si>
  <si>
    <t>Check up Ginecologico</t>
  </si>
  <si>
    <t>Check Up Gine | Cobrar $1,500</t>
  </si>
  <si>
    <t>Tirado Chavez, Karen Alexa</t>
  </si>
  <si>
    <t>Transferencia de embriones</t>
  </si>
  <si>
    <t>Quirófano</t>
  </si>
  <si>
    <t>(EX) Paciente: Karen Alexa Tirado Chavez - Procedimiento: Transferencia embrionaria - MT: Dra. Yazmin Ramos</t>
  </si>
  <si>
    <t>Hernandez Gutierrez, Jennifer</t>
  </si>
  <si>
    <t>Captura ovular</t>
  </si>
  <si>
    <t>(EX) Paciente: OVODON: Jennifer Hernandez Gutierrez - Procedimiento: Captura vitrificacion de ovulos (OVODON) - MT: Dra. Jazmin Ramos</t>
  </si>
  <si>
    <t>Rubio Camacho, Karla Paola</t>
  </si>
  <si>
    <t>Se enviaron a la paciente los resultados de sus estudios. La Dra. Sharey revisó los mismos y refiere que todos se encuentran dentro de los parámetros de la normalidad, por lo que los resultados son favorables.Se informó a la paciente sobre dichos resultados y se le indicó que, en caso de presentar alguna duda o requerir información adicional, el equipo permanece disponible para brindarle el apoyo y seguimiento correspondiente.</t>
  </si>
  <si>
    <t>Uralde Ramírez, David</t>
  </si>
  <si>
    <t>Espermatobioscopia | Cobrar $1,500</t>
  </si>
  <si>
    <t>Chiquillo, Kelcie</t>
  </si>
  <si>
    <t>Toma de muestra</t>
  </si>
  <si>
    <t>TOMAR SEGUIMIENTO FOLICULAR</t>
  </si>
  <si>
    <t>MOVK980220T29 ( Karina Paola Montes Vázquez)</t>
  </si>
  <si>
    <t>Villa Gonzalez, Sandra Daniela</t>
  </si>
  <si>
    <t>Ultrasonido incluido</t>
  </si>
  <si>
    <t>Castañeda Horta, Antonio</t>
  </si>
  <si>
    <t>ED incluida en el check up hombres</t>
  </si>
  <si>
    <t>Jiménez Valdivia, Vianey Alexandra</t>
  </si>
  <si>
    <t>Consulta primera vez</t>
  </si>
  <si>
    <t>|PX con previos estudios iba a comenzar su procedimiento en Metepec pero se mudó a GDL</t>
  </si>
  <si>
    <t>Ayala Becerra, Jesús Omar</t>
  </si>
  <si>
    <t>Fertility Check up Hombres</t>
  </si>
  <si>
    <t>Check Up de Fertilidad Masculina | Dio anticipo de $750 - Cobrar $1,750</t>
  </si>
  <si>
    <t>becerra Martínez, Citlali Guadalupe becerra Martínez</t>
  </si>
  <si>
    <t>Consulta primera vez $1,000- anticipo de $300 cobrar $700</t>
  </si>
  <si>
    <t>Rivera Ruelas, Mariana Guadalupe</t>
  </si>
  <si>
    <t>Becerra Rodriguez, Lizeth</t>
  </si>
  <si>
    <t>Se revisan resultados de Papanicolaou y colposcopia.El estudio de Papanicolaou reporta cambios inflamatorios leves, hallazgo frecuente que suele asociarse a cambios hormonales fisiológicos del cuello uterino o del flujo vaginal, sin datos que sugieran patología y sin requerimiento de tratamiento específico.En el reporte de colposcopia no se identifican alteraciones relevantes. Ambos estudios se consideran dentro de parámetros de normalidad.Se informa a la paciente sobre los resultados, explicando su significado y brindando tranquilidad respecto a los hallazgos. Se recomienda continuar con el control ginecológico de rutina mediante revisión anual.Se sugiere realizar la determinación sérica de hormona antimülleriana (AMH) en caso de interés en la evaluación de la reserva ovárica. Se indica compartir el resultado para su interpretación y orientación correspondiente.Asimismo, se ofrece la posibilidad de realizar un check-up de fertilidad para la paciente y su pareja, en caso de que decidan iniciar una evaluación integral.Se resuelven dudas y la paciente queda con indicaciones de continuar seguimiento según evolución o ante cualquier inquietud.</t>
  </si>
  <si>
    <t>De la Cruz Galan, Berenice</t>
  </si>
  <si>
    <t>De la Rocha Zubia, Mariana</t>
  </si>
  <si>
    <t>Consulta médica</t>
  </si>
  <si>
    <t>Consulta médica | Cobrar $1,000
Le duele espalda baja, y un poquito arriba del lado derecho (abdomen) estuvo viendo doctores y descartaron todo solo queda descartar que no sea en el ovario o en la trompa</t>
  </si>
  <si>
    <t>TOMAR PREPARACION ENDOMETRIAL</t>
  </si>
  <si>
    <t>Navarro Alvarado, Itzi Sarahí del Carmen</t>
  </si>
  <si>
    <t>Ultrasonido</t>
  </si>
  <si>
    <t>Jorge Michel</t>
  </si>
  <si>
    <t>Sanchez Laurent, Leslie Jocelyn</t>
  </si>
  <si>
    <t>(EX) Paciente: Leslie Jocelyn Sanchez Laurent - Procedimiento: Captura Ovular para vitri de ovulos - MT: Dra. Amaranta Martinez</t>
  </si>
  <si>
    <t>Amaranta Paulina Martinez Alvarado</t>
  </si>
  <si>
    <t>Villalba Domínguez, Beatriz Adriana</t>
  </si>
  <si>
    <t>ED incluida en check up fertilidad masculina</t>
  </si>
  <si>
    <t>Padilla Bateau, Duyinia</t>
  </si>
  <si>
    <t>se le mandan sus resultados por mensaje, todo salio bien</t>
  </si>
  <si>
    <t>Michel Leaño, Marcelo</t>
  </si>
  <si>
    <t>Plática de resultados (30)</t>
  </si>
  <si>
    <t>Prado Ramirez, Cintia</t>
  </si>
  <si>
    <t>(EX) Paciente: Cintia Prado Ramirez - Procedimiento: Captura ovular para FIV - MT: Dra. Ericka Yac</t>
  </si>
  <si>
    <t>Ericka Gabriela Yac Longoria</t>
  </si>
  <si>
    <t>Alfaro Perez, Belkis Ivette</t>
  </si>
  <si>
    <t>52 1 33 1021 9755</t>
  </si>
  <si>
    <t>(EX) Paciente: Belkis Ivette Alfaro Perez - Procedimiento: Transferencia embrionaria - MT: Dra. Amaranta Martinez</t>
  </si>
  <si>
    <t>Prieto Cuevas, María Guadalupe</t>
  </si>
  <si>
    <t>HAM</t>
  </si>
  <si>
    <t>Macedo Meza, Ana Rebeca</t>
  </si>
  <si>
    <t>Ruelas Acosta, Vicente Antonio</t>
  </si>
  <si>
    <t>| Cobrar $1,500</t>
  </si>
  <si>
    <t>Rivera González, Esmeralda Anahi</t>
  </si>
  <si>
    <t>Olvera Hernandez, Emmanuel Alejandro</t>
  </si>
  <si>
    <t>Cobrar $1,500</t>
  </si>
  <si>
    <t>Padilla Tamez, Alejandra</t>
  </si>
  <si>
    <t>| Sales Team Booked
consulta básica sin estudios (ella ya traia)</t>
  </si>
  <si>
    <t>Doctoralia cobrar $1,500</t>
  </si>
  <si>
    <t>Toscano, Fernanda Saray</t>
  </si>
  <si>
    <t>Escobar Galindo, Andrea Yunuen</t>
  </si>
  <si>
    <t>Sevilla Puentes, Maria Lizbeth Yoselin</t>
  </si>
  <si>
    <t xml:space="preserve">CHECK UP GINE GRATIS EVENTO LUAA
</t>
  </si>
  <si>
    <t>Aldaco Torres, Michelle</t>
  </si>
  <si>
    <t>Tomar: Seguimiento Folicular.</t>
  </si>
  <si>
    <t>SACB9401197N2 ( Brenda Sánchez)</t>
  </si>
  <si>
    <t>Tomar: Seguimiento Folicular</t>
  </si>
  <si>
    <t>Orozco López, Hugo Alonso</t>
  </si>
  <si>
    <t>Muestra Espermática para FIV</t>
  </si>
  <si>
    <t>Muestra para FIV.</t>
  </si>
  <si>
    <t>Macao</t>
  </si>
  <si>
    <t>Ramirez Aceves, Sandra Berenice</t>
  </si>
  <si>
    <t>Revisión post tratamiento</t>
  </si>
  <si>
    <t>Calderón García, Iliana Del Rocio</t>
  </si>
  <si>
    <t>Hugo Alonso Orozco Lopez</t>
  </si>
  <si>
    <t>Check Up Ginecología | Dio anticipo de $450 - Cobrar $1,050</t>
  </si>
  <si>
    <t>Gomez Castro, Yesenia</t>
  </si>
  <si>
    <t>TOMA CARIOTIPO PAREJA Y A SU ESPOSO HOMOCISTENIA TAMBIÉN</t>
  </si>
  <si>
    <t>Cervantes Mendoza, Carolina</t>
  </si>
  <si>
    <t>(EX) Paciente: Carolina Cervantes Mendoza - Procedimiento: Transferencia embrionaria - MT: Dra. Yazmin Ramos</t>
  </si>
  <si>
    <t>Escobedo Moreno, Magdalena Anabel</t>
  </si>
  <si>
    <t>(EX) Paciente: Magdalena Anabel Escobedo Moreno - Procedimiento: Transferencia embrionaria - MT: Dr. Jorge Michel</t>
  </si>
  <si>
    <t>Jorge Michel (EX)</t>
  </si>
  <si>
    <t>Quezada Rosas, Maria Fernanda</t>
  </si>
  <si>
    <t>(EX) Paciente: Maria Fernanda Quezada Rosas - Procdimiento: Captura ovular para FIV + PGT A - MT: Dra. Yazmin Ramos</t>
  </si>
  <si>
    <t>Pelayo Gomez, Flor Maritza</t>
  </si>
  <si>
    <t>Histeroscopía con anestesia</t>
  </si>
  <si>
    <t>(EX) Paciente: Flor Maritza Pelayo Gomez - Procedimiento: Histeroscopia diagnostica con anestesia - MT: Dra. Tanya Barajas</t>
  </si>
  <si>
    <t>Tanya Barajas Serrano (Externa)</t>
  </si>
  <si>
    <t>Padilla Borquez, Diana Lourdes</t>
  </si>
  <si>
    <t>Ruiz Jones, Halley Elizabeth</t>
  </si>
  <si>
    <t>Consulta de nutrición incluida</t>
  </si>
  <si>
    <t>Wellness</t>
  </si>
  <si>
    <t>Adriana Martinez</t>
  </si>
  <si>
    <t>Gonzalez Landeros, Marcos</t>
  </si>
  <si>
    <t>(EX) Pareja: Maria Fernanda Quezada Rosas MT: Dra. Yazmin Ramos</t>
  </si>
  <si>
    <t>Omil, Priscilla Maria</t>
  </si>
  <si>
    <t>Consulta de primera vez (Fertilidad) | Dio anticipo de $450 - Cobrar $1,050</t>
  </si>
  <si>
    <t>Carlos Macias</t>
  </si>
  <si>
    <t>Lopez Briseño, Giovana Sinai</t>
  </si>
  <si>
    <t>(EX) Paciente: Giovana Sinai Lopez Briseño - Procedimiento: Captura ovular apra FIV con PGTA - MT: Dra. Edna Amaro</t>
  </si>
  <si>
    <t>Edna Amaro</t>
  </si>
  <si>
    <t>Amezcua, Marizol</t>
  </si>
  <si>
    <t>(EX) Paciente: Marizol Amezcua - Procedimiento: Captura ovular para FIV + PGT A - MT: Dra. Ruth Hernandez</t>
  </si>
  <si>
    <t>Ruth Hernández Sánchez</t>
  </si>
  <si>
    <t>Galicia Mejía, Miriam Lizett</t>
  </si>
  <si>
    <t>Histerosonografía</t>
  </si>
  <si>
    <t>TOMA HAM</t>
  </si>
  <si>
    <t>Rubio, Yisell Victoria</t>
  </si>
  <si>
    <t>Paciente: Yisell Victoria Rubio - Procedimiento: Captura ovular para FIV + PGT A - MT: Dra. Amaranta Martinez</t>
  </si>
  <si>
    <t>Amaral Brambila, Ali Yesenia</t>
  </si>
  <si>
    <t>PACIENTE DE LA DRA DEL IMSS, YA MEBARAZADA, SOLO CHEQUEO PORQUE TENÍA MOLESTIAS</t>
  </si>
  <si>
    <t>Check up de fertilidad anticipo $660- cobrar $1540 INTERESDA EN METODO ROPA</t>
  </si>
  <si>
    <t>Estudios a realizar (Glucosa, Insulina, Prolactina, TSH, T4- Libre, Vitamin D 1,25, FSH, LH, Estradiol)</t>
  </si>
  <si>
    <t>Rodriguez Medina, Osmar Jairo</t>
  </si>
  <si>
    <t>Fertility Check up Parejas</t>
  </si>
  <si>
    <t>Check Up de Fertilidad en Pareja | Cobrar $3,500
SE INTERPRETARON LOS ESTUDIOS EN LA CONSULTA, NO SE LES DIO PRESUPUESTO</t>
  </si>
  <si>
    <t>se realizo platica prescencial después de la histerosono, se les dio presupuesto de vitri de ovulos</t>
  </si>
  <si>
    <t>Ornelas Robles, Karla Jitziuri</t>
  </si>
  <si>
    <t xml:space="preserve">Cobrar $3,500
SE INTERPRETARON LOS ESTUDIOS EN CONSULTA, NO SE LES DIO PRESUPUESTO, NO TINEN INFERTILIDAD </t>
  </si>
  <si>
    <t>Check Up Ginecológico | Dio anticipo de $450 - Cobrar $1,050</t>
  </si>
  <si>
    <t>Ortega Cabanillas, Jesus Daniela</t>
  </si>
  <si>
    <t>Se revisa resultado de Papanicolaou, el cual se encuentra dentro de parámetros de normalidad, con reporte de resultados negativos, sin evidencia de alteraciones.
Se informa a la paciente que no se identifican hallazgos patológicos en el estudio.
Se resuelven dudas y se mantiene seguimiento abierto para cualquier eventualidad o consulta adicional.</t>
  </si>
  <si>
    <t>Hernandez Ramirez, Marysol Areli</t>
  </si>
  <si>
    <t>HAM Incluida en Check up pareja</t>
  </si>
  <si>
    <t>ED Incluido en check up de pareja</t>
  </si>
  <si>
    <t>Tomar: AMH</t>
  </si>
  <si>
    <t>Felipe Mendoza, Alejandra</t>
  </si>
  <si>
    <t xml:space="preserve">Se le envian resultados a paciente 
Se revisan resultados de Papanicolaou, reportando únicamente cambios inflamatorios leves, sin hallazgos que requieran tratamiento específico. Se revisa también resultado de colposcopia, sin evidencia de alteraciones importantes. En conjunto, los estudios se consideran dentro de parámetros normales.
Se recomienda continuar con seguimiento mediante ultrasonido del quiste hemorrágico de ovario para confirmar su resolución. Se resuelven dudas y se brindan datos de seguimiento.
</t>
  </si>
  <si>
    <t>TOMA DE HAM evento LUAA</t>
  </si>
  <si>
    <t>Consulta primera vez gratis</t>
  </si>
  <si>
    <t>CHECK UP FERTILIDAD GRATIAS EVENTO LUUA
Ya se mandó mensaje de confirmación</t>
  </si>
  <si>
    <t>Cortes Pinto, Juan Jose</t>
  </si>
  <si>
    <t>Congelamiento de Muestra</t>
  </si>
  <si>
    <t>Sanchez Romero, Daniela Monserrat</t>
  </si>
  <si>
    <t>Rincon Chavez, Martha Yesenia</t>
  </si>
  <si>
    <t>(EX) Paciente: Martha Yesenia Rincon Chavez - Procedimiento: Transferencia embrionaria - MT: Dra. Amaranta Martinez</t>
  </si>
  <si>
    <t>López Gamez, Poleth Kaori</t>
  </si>
  <si>
    <t>Marcos Oates, Regina Lucia</t>
  </si>
  <si>
    <t>Fregoso García, Areli Guadalupe</t>
  </si>
  <si>
    <t>Check up ginecología | Gratis ya que gano un golden ticket en luua wellness de check up fertilidad mujer, pero se lo cambiamos por chek up ginecología</t>
  </si>
  <si>
    <t>Check-Up ginecológico + Prueba de hormona antimülleriana | Sin costo - colaboración</t>
  </si>
  <si>
    <t>González Gúzman, Andrea</t>
  </si>
  <si>
    <t>SEGUNDA BETA</t>
  </si>
  <si>
    <t>Morales Estrada, Laura Ruth</t>
  </si>
  <si>
    <t>se le mandaron resultados de PAP por mensaje, todo salio bien</t>
  </si>
  <si>
    <t>Ana Giannina Garcia</t>
  </si>
  <si>
    <t>Esqueda Jacobus, Andres</t>
  </si>
  <si>
    <t>Paredes Quezada, Katya Elizabeth</t>
  </si>
  <si>
    <t xml:space="preserve">
Se envian resultados a la paciente:  
Se revisan los resultados de Papanicolaou, el cual reporta cambios inflamatorios leves, compatibles con cambios fisiológicos asociados al embarazo, sin datos de lesiones que requieran tratamiento.
Se revisa también el resultado de la colposcopia, sin evidencia de alteraciones significativas.
**Impresión:** Papanicolaou y colposcopia dentro de parámetros normales. No se requiere tratamiento específico. Continuar con seguimiento de rutina.
</t>
  </si>
  <si>
    <t>Paniagua Nuño, Nancy</t>
  </si>
  <si>
    <t>Inicio de tratamiento</t>
  </si>
  <si>
    <t>Caro Arambula, Aída</t>
  </si>
  <si>
    <t>Rentería Castañeda, Alejandra</t>
  </si>
  <si>
    <t>Consulta de primera vez (Fertilidad) | Dio anticipo de $300 - Cobrar $700
consulta básica sin estudios</t>
  </si>
  <si>
    <t>Novoa Carrera, Mariana</t>
  </si>
  <si>
    <t>García Alvarez, Emanuel</t>
  </si>
  <si>
    <t>Fragmentación del ADN espermático</t>
  </si>
  <si>
    <t>Gómez Cardenas, Tania</t>
  </si>
  <si>
    <t>Procedimiento en consultorio</t>
  </si>
  <si>
    <t>CD138</t>
  </si>
  <si>
    <t>Delgadillo Quezada, Athziri Gwendoli</t>
  </si>
  <si>
    <t>Ramos Lopez, Alejandra Thalia</t>
  </si>
  <si>
    <t>Rubio Mayorga, Laura Elizabeth</t>
  </si>
  <si>
    <t>TOMA DE VITAMINA D</t>
  </si>
  <si>
    <t>Preciado Guerrero, Jessica Fabiola</t>
  </si>
  <si>
    <t xml:space="preserve">Check Up en Pareja | Dio anticipo de $1,050 - Cobrar $2,450
Estan buscando embarazarse
Resultados tomados previos a la consulta, se entregan durante la misma </t>
  </si>
  <si>
    <t>González González, Alondra Guadalupe</t>
  </si>
  <si>
    <t>CARIOTIPO PAREJA</t>
  </si>
  <si>
    <t>Salcedo Mercado, Elena Patricia</t>
  </si>
  <si>
    <t>Se le mandaron resultados de HAM por mensaje, resultado normal</t>
  </si>
  <si>
    <t>Chávez Del Toro, Roberto</t>
  </si>
  <si>
    <t>DONANTE CONOCIDO</t>
  </si>
  <si>
    <t>Jamaica</t>
  </si>
  <si>
    <t>Servín villaruel, Angelica Monserrat</t>
  </si>
  <si>
    <t>Mora Gutierrez, Carmen Antonia</t>
  </si>
  <si>
    <t>Ruiz, Rosio</t>
  </si>
  <si>
    <t>CHECK UP GINECOLÓGICO EVENTO LUAA GRATIS</t>
  </si>
  <si>
    <t>TOMA DE HAM</t>
  </si>
  <si>
    <t>CHECK UP GINE + HAM Anticipo de $840- cobrar $1960</t>
  </si>
  <si>
    <t>Guerra Martinez, Jaime</t>
  </si>
  <si>
    <t>33 4085 3270</t>
  </si>
  <si>
    <t>Biopsia testicular</t>
  </si>
  <si>
    <t>Emma Gabriela Portillo Osorio</t>
  </si>
  <si>
    <t>Duclaud Macias, Karen Montserrat</t>
  </si>
  <si>
    <t>(EX) Paciente: Karen Montserrat Duclaud Macias - Procedimiento: Captura ovular para FIV con ovulos propios y ovodon - MT: Dra. Emma Gabriela Portillo</t>
  </si>
  <si>
    <t>TOMA DE CULTIVOS Y CD138</t>
  </si>
  <si>
    <t>Check up Ginecológico + Prueba de hormona antimülleriana | Sin costo es colaboración</t>
  </si>
  <si>
    <t>Sanchez Mendez, Ana Lilia</t>
  </si>
  <si>
    <t>Se le envia mensaje a la paciente con la siguiente información: 
Se recibe resultado de hormona antimülleriana (HAM). De acuerdo con los parámetros de referencia utilizados en la valoración de reserva ovárica, se consideran valores normales aquellos superiores a 1.2 ng-mL. El resultado obtenido se encuentra dentro de rangos normales, lo que sugiere una reserva ovárica adecuada.
Este hallazgo permite estimar de manera más precisa la dosis de gonadotropinas para un eventual protocolo de estimulación ovárica y se asocia con una expectativa favorable de respuesta al tratamiento, con posibilidad de obtener un número adecuado de ovocitos durante la captación.
Se encuentra pendiente la recepción y revisión del reporte de histerosalpingografía y estudios de laboratorio complementarios. Una vez integrados dichos resultados, se recomienda realizar una consulta de seguimiento para revisión integral, resolución de dudas y definición de la conducta terapéutica a seguir.</t>
  </si>
  <si>
    <t>Ortiz, Adriana Isabel</t>
  </si>
  <si>
    <t>Ya había asistido a cita médica anteriormente, comenta que quiere realizarse un USD para confirmar que no está embarazada</t>
  </si>
  <si>
    <t>Paniagua Garcia, Miguel Alejandro</t>
  </si>
  <si>
    <t>Leslie Sharon Gamiño Sanchez</t>
  </si>
  <si>
    <t>Hermosillo Rodriguez, Maria Isabel</t>
  </si>
  <si>
    <t>(EX) Paciente: Maria Isabel Hermosillo Rodriguez - Procedimiento: IIU - MT: Dra. Leslie Gamiño</t>
  </si>
  <si>
    <t>Arias Gamez, Michelle</t>
  </si>
  <si>
    <t>DOCTORALIA- CONSULTA DE PRIMERA VEZ- COBRAR $1000
YA ESTA EMBARAZADA</t>
  </si>
  <si>
    <t>Effiong Eyo, Ruth</t>
  </si>
  <si>
    <t>Consulta primera vez online</t>
  </si>
  <si>
    <t>Canada</t>
  </si>
  <si>
    <t>Magaña Vidal, María Fernanda</t>
  </si>
  <si>
    <t>Se revisan resultados de citología cervical (Papanicolaou) y colposcopia.
El reporte de Papanicolaou muestra hallazgos compatibles con vaginosis bacteriana, condición asociada a un desequilibrio de la flora bacteriana vaginal. Se había comentado previamente este diagnóstico durante la consulta y se indicó el tratamiento correspondiente para su manejo.
Asimismo, se revisa el reporte de colposcopia, en el cual no se identifican alteraciones cervicales significativas ni hallazgos sugestivos de patología relevante.
Se informa a la paciente sobre los resultados obtenidos y se recomienda completar el tratamiento prescrito, así como mantener seguimiento clínico conforme a lo indicado.</t>
  </si>
  <si>
    <t>Orduño Urias, Linda Carolina</t>
  </si>
  <si>
    <t>Ortega Garibay, Ana Daniela</t>
  </si>
  <si>
    <t>Se revisan resultados de citología cervical (Papanicolaou) y colposcopia.
El reporte de Papanicolaou informa únicamente cambios inflamatorios, sin evidencia de lesiones intraepiteliales ni datos sugestivos de malignidad. Los hallazgos inflamatorios descritos son frecuentes y pueden asociarse a cambios fisiológicos del cuello uterino o de la flora vaginal, sin requerir tratamiento específico en ausencia de sintomatología.
Asimismo, se revisa reporte de colposcopia, en el cual no se identifican alteraciones cervicales relevantes ni hallazgos sugestivos de patología significativa.
Se informa a la paciente sobre los resultados obtenidos y se recomienda continuar con el seguimiento ginecológico de rutina y las medidas de vigilancia habituales.</t>
  </si>
  <si>
    <t>Cornejo Pérez, Carolina</t>
  </si>
  <si>
    <t>Tafolla Vazquez, Armando</t>
  </si>
  <si>
    <t>ED Incluida en check up de pareja</t>
  </si>
  <si>
    <t>HAM Incluida en Check Up de pareja</t>
  </si>
  <si>
    <t>HAM Incluida en Check Up de Pareja</t>
  </si>
  <si>
    <t>Check Up Gine | Dio anticipo de $450 - Cobrar $1,500 - Se quiere hacer en Julio el check up de fertilidad en pareja</t>
  </si>
  <si>
    <t>González hurtado, Rubí maricela</t>
  </si>
  <si>
    <t>Flores Mejia, Mariana</t>
  </si>
  <si>
    <t>Doctoralia</t>
  </si>
  <si>
    <t>García Aguilar, Pedro Felipe</t>
  </si>
  <si>
    <t>Check up en pareja 
A el se le dieron resultados en la consulta</t>
  </si>
  <si>
    <t>Flores Delgado, Gema Alejandra</t>
  </si>
  <si>
    <t>(EX) Paciente: Gema Alejandra Flores Delgado - Procedimiento: Captura ovular para FIV + PGTA - MT: Dra. Ruth Hernandez</t>
  </si>
  <si>
    <t>Ruelas Dueñas, Maria Guadalupe</t>
  </si>
  <si>
    <t>(EX) Paciente: Maria Guadalupe Ruelas Dueñas - Procedimiento: Captura ovular para FIV diferido- MT: Dra. Edna Amaro</t>
  </si>
  <si>
    <t>Cortes Enriquez, Liliana Marisol</t>
  </si>
  <si>
    <t>Vilchis Rizo, Armando De Jesús</t>
  </si>
  <si>
    <t>Benítez Leyva, Xochitl Yetlanezi</t>
  </si>
  <si>
    <t>Ariadne Coutiño Bravo</t>
  </si>
  <si>
    <t>Toma de Seguimiento Folicular</t>
  </si>
  <si>
    <t>CHECK UP GINE-ANTICIPO DE $1450- COBRAR $50</t>
  </si>
  <si>
    <t>San Luis Calvario, Victoria Chantal</t>
  </si>
  <si>
    <t>Gutiérrez Barrera, Luis Ángel</t>
  </si>
  <si>
    <t>ED Incluida en Check Up de Pareja</t>
  </si>
  <si>
    <t>Check Up Ginecológico | Dio anticipo de $400 - Cobrar $1,100</t>
  </si>
  <si>
    <t>López González, Lilian Araceli</t>
  </si>
  <si>
    <t>Consulta de Ferilidad sin HAM - Dio anticipo de $200, Cobrar $800 (Interesada en FIV)</t>
  </si>
  <si>
    <t>Nuñez Rivera, Paulina</t>
  </si>
  <si>
    <t>Consulta de fertilidad- viene por segunda opinión- se hizo prueba antimulleriana hace 1 mes- Cobrar $1,000</t>
  </si>
  <si>
    <t>Doctoralia- Check up Gine- cobrar $1,500</t>
  </si>
  <si>
    <t>Krishnamoorthy, Subramanian</t>
  </si>
  <si>
    <t>toma de serologías</t>
  </si>
  <si>
    <t>Toma: Seguimiento folicular.</t>
  </si>
  <si>
    <t>García De Paz, Salmaí Lizbeth</t>
  </si>
  <si>
    <t>Consulta de fertilidad- Anteriormente ya se ha realizado estudios como histerosalpingografía- anticpio de $300- cobrar $700</t>
  </si>
  <si>
    <t>TOMAR PREOPERATORIOS</t>
  </si>
  <si>
    <t>Check-up Ginecológico | Motivo de cita: GINE - | Dr. Blanca Cardenas | Código de referido-descuento: | Self-Booked</t>
  </si>
  <si>
    <t>Pelayo Castellanos, Kathy Berenice</t>
  </si>
  <si>
    <t>Se envia mensaje de revisión de resultados de Papanicolaou, reportando únicamente cambios inflamatorios leves, sin datos de lesión intraepitelial o malignidad. Hallazgo dentro de parámetros habituales, sin requerimiento de tratamiento específico.
Se revisa asimismo reporte de colposcopia, sin alteraciones de relevancia clínica. Se recomienda continuar con seguimiento ginecológico anual. Pendiente revisión de estudios complementarios y seguimiento de la evolución del siguiente ciclo menstrual, de acuerdo con lo comentado durante la consulta.</t>
  </si>
  <si>
    <t>Garcia Mendez, Janeth</t>
  </si>
  <si>
    <t>Se envia mensaje referente a la revisión de resultados de Papanicolaou, reportando infección por Candida spp., compatible con los hallazgos clínicos observados durante la consulta. Se confirma tratamiento previamente indicado.
Se revisa además resultado de colposcopia, sin evidencia de alteraciones cervicales de importancia.
Se recomienda continuar con seguimiento ginecológico anual. Paciente candidata a recolocación de DIU Mirena en caso de así desearlo.</t>
  </si>
  <si>
    <t>Urias Escalante, Marisol</t>
  </si>
  <si>
    <t>se le mandaron resultados por mensaje, todo salio bien</t>
  </si>
  <si>
    <t>Amezcua Avila, Christian Aaron</t>
  </si>
  <si>
    <t>Flores Ibarra, Alejandra Guadalupe</t>
  </si>
  <si>
    <t>(EX) Paciente: Alejandra Guadalupe Flores Ibarra - Procedimiento: Captura ovular para FIV con PGT A - MT: Dra. Ruth Hernandez</t>
  </si>
  <si>
    <t>Maldonado, Anahi</t>
  </si>
  <si>
    <t>Plática de resultados incluída</t>
  </si>
  <si>
    <t>Check up ginecología | Dio anticipo de $500 - Cobrar $1,500</t>
  </si>
  <si>
    <t>Ramos Mar, Diana Lili</t>
  </si>
  <si>
    <t>Ruiz Vera, Ashley Kimberly</t>
  </si>
  <si>
    <t>, Imelda</t>
  </si>
  <si>
    <t>Dio anticipo de $450 - Cobrar $1,050</t>
  </si>
  <si>
    <t>Ruby Medina</t>
  </si>
  <si>
    <t>ED incluida en check up de pareja</t>
  </si>
  <si>
    <t>Molas Pesqueira, Ana Paula</t>
  </si>
  <si>
    <t>(EX) Paciente: Ana Paula Molas Pesqueira - Procedimiento: Histeroscopia diagnostica con anestesia - MT: Dra. Tanya Barajas</t>
  </si>
  <si>
    <t>Aguilar Chavez, Yoal</t>
  </si>
  <si>
    <t>Dio anticipo de $500 - Cobrar $500. Es consulta de fertilidad, pregunto sobre FIV, ya fue a INGENES por información y quiere otra opinion</t>
  </si>
  <si>
    <t>Delgadillo Acevedo, Maria Georgina</t>
  </si>
  <si>
    <t>(EX) Paciente: Maria Georgina Delgadillo Acevdo - Procedimiento: IIU - MT: Dra. Candice Barba</t>
  </si>
  <si>
    <t>Candice Ann Barba Gomez</t>
  </si>
  <si>
    <t>Rosas Sahagun, Arturo</t>
  </si>
  <si>
    <t>(EX) Paciente: Arthuro Rosas Sahagun - Procedimiento: Muestra para IIU - MT: Dra. Candice Barba</t>
  </si>
  <si>
    <t>Rael, Indigo Dawn</t>
  </si>
  <si>
    <t>(EX) Paciente: Indigo Dawn Rael - Procedimiento: Captura ovular para banking de ovulos - MT: Dra. Ericka Yac</t>
  </si>
  <si>
    <t>Garcia Ramirez, Angelica Jacqueline</t>
  </si>
  <si>
    <t>(EX) Paciente: Angelica Jacqueline Garcia Ramirez - Procedimiento: Transferencia de embrion congelado - MT: Dr. Carlos Macias</t>
  </si>
  <si>
    <t>Flores Ochoa, Adalberto</t>
  </si>
  <si>
    <t>Castillo Cota, Mariana</t>
  </si>
  <si>
    <t>Se le mandaron sus resultados por mensaje, todo salió bien</t>
  </si>
  <si>
    <t>Glaser-Hernandez, Cheyann</t>
  </si>
  <si>
    <t>Favor de tomar estradiol y progesterona</t>
  </si>
  <si>
    <t>Torres, Juan</t>
  </si>
  <si>
    <t>Pago $1,500</t>
  </si>
  <si>
    <t>Tomar: Seguimiento Folicular
Tomar: Serologías a Esposo</t>
  </si>
  <si>
    <t>115-81-3 | Self-Booked</t>
  </si>
  <si>
    <t>Gomez Lira, Jose Brian</t>
  </si>
  <si>
    <t>33 1877 7199</t>
  </si>
  <si>
    <t>(EX) MT: Dra. Ana Gianina</t>
  </si>
  <si>
    <t>Fuentes Santillan, Monica Lizeth</t>
  </si>
  <si>
    <t>(EX) Paciente: Monica Lizeth Fuentes Santillan - Procedimiento: Transferencia de embrion congelado - MT: Dra. Yazmin Ramos</t>
  </si>
  <si>
    <t>CONSULTA INICIAL $1,000</t>
  </si>
  <si>
    <t>Mora Cruz, Lisbeily</t>
  </si>
  <si>
    <t>Consulta ginecológica</t>
  </si>
  <si>
    <t xml:space="preserve"> Posible RETIRO DE DIIU. Cobrar $1,500
</t>
  </si>
  <si>
    <t>Se le mandaron resultados por mensaje con mensaje de voz de la dra, todo salio bien</t>
  </si>
  <si>
    <t>Check-up Ginecológico- anticipo de $500- cobrar $100</t>
  </si>
  <si>
    <t>Medina Medina, Estefanía</t>
  </si>
  <si>
    <t>CHECK UP FERTILIDAD ANTICIPO DE $660- COBRAR $1540
SE LE DIO EL RESULTADO DE SU HAM EN CONSULTA</t>
  </si>
  <si>
    <t>Hernández Fuentes, 
Elizabeth</t>
  </si>
  <si>
    <t>Gonzalez Godinez, Sandra Elisa</t>
  </si>
  <si>
    <t>Monter, Maria Fernanda</t>
  </si>
  <si>
    <t>Check-up fertilidad FemeninaPagado el 30%FAVOR DE COBRAR $1,540FAVOR DE TOMAR HAM</t>
  </si>
  <si>
    <t>Martínez Jiménez, Bertha Andrea</t>
  </si>
  <si>
    <t>Galvan Plascencia, Salvador Alejandro</t>
  </si>
  <si>
    <t>(EX) Paciente: Salvador Alejandro Galvan Plascencia - Procedimiento: Biopsia testicular con congelamiento de semen - MT: Dr. Carlos Sandoval</t>
  </si>
  <si>
    <t>Carlos Eduardo Sandoval Castro</t>
  </si>
  <si>
    <t>Rodriguez Guitron, Elisa Fernanda</t>
  </si>
  <si>
    <t>(EX) Paciente: Elisa Fernanda Rodriguez Guitron - Procedimiento: Captura ovular para FIV + PGT A - MT: Dra. Edna Amaro</t>
  </si>
  <si>
    <t>Alvarez, Alejandra</t>
  </si>
  <si>
    <t>CONGELAMIENTO DE ÓVULOS GARANTIZADOS</t>
  </si>
  <si>
    <t>Cárdenas Lopez, Salvador</t>
  </si>
  <si>
    <t>Muestra ed</t>
  </si>
  <si>
    <t>GOAR030716563 ( Romina González Ávila)</t>
  </si>
  <si>
    <t>Tomar ham</t>
  </si>
  <si>
    <t>Velazquez Macías, Eunice</t>
  </si>
  <si>
    <t>Check up fertilidad pareja cobrar $2450 
SU PLÁTICA DE RESULTADOS SERÁ EL 20 DE JUNIO PRESENCIAL CUANDO VENGA A HACERSE LA SONOHISTERO</t>
  </si>
  <si>
    <t>Hernandez Arreola, Sofia</t>
  </si>
  <si>
    <t>CHECK UP GINECOLÓGICO- ANTICIPO DE $750- COBRAR $750</t>
  </si>
  <si>
    <t>Tomar "Serologías, Preoperatorios, Seguimiento folicular"</t>
  </si>
  <si>
    <t>Rodriguez, Asela</t>
  </si>
  <si>
    <t>CONSULTA FERTILIDAD BÁSICA $1,500</t>
  </si>
  <si>
    <t>Toma de estradiol y progesterona</t>
  </si>
  <si>
    <t>Menera Ochoa, Litzy Viviana</t>
  </si>
  <si>
    <t>Navarro Mercado, Jazmin</t>
  </si>
  <si>
    <t>En procedimiento</t>
  </si>
  <si>
    <t>GIRJ900809PB1 ( Job Valentin Grimaldo Rodriguez)</t>
  </si>
  <si>
    <t>CONSULTA BÁSICA NO SE LE TOMARON ESTUDIOS</t>
  </si>
  <si>
    <t>Ruiz, rosio</t>
  </si>
  <si>
    <t>DUGD950329AP8 (  Diana Lorena Duran Godinez)</t>
  </si>
  <si>
    <t>Gonzalez Cordova, Blanca Alicia</t>
  </si>
  <si>
    <t>(EX) Paciente: Blanca Alicia Gonzalez Cordova - Procedimiento: Transferencia de embrion congelado - MT: Dra. Yazmin Ramos</t>
  </si>
  <si>
    <t>Rodriguez Mendoza, Silvia Carolina</t>
  </si>
  <si>
    <t>Acosta Terán
, Hanna Hailen</t>
  </si>
  <si>
    <t>Melendez Salcedo, Silvia</t>
  </si>
  <si>
    <t>Reyes Munguia, Maria de Jesús</t>
  </si>
  <si>
    <t xml:space="preserve">Consulta inicial- anticipo de $450- cobrar $1050- INTERESADA EN FIV- cita acupuntura
CONSULTA BÁSICA, NO SE LE TOMARON ESTUDIOS </t>
  </si>
  <si>
    <t>CONSULTA DE FERTILIDAD EN LINEA PAGADA</t>
  </si>
  <si>
    <t>Cobrar $3,500</t>
  </si>
  <si>
    <t>Romero Sanchez, Carlos Ivan</t>
  </si>
  <si>
    <t>Ramírez Bocanegra, Naomi</t>
  </si>
  <si>
    <t>Toma de Carrier - Horizon 613 con kit - Paciente es donante. Los IPs pidieron estos estudios geneticos</t>
  </si>
  <si>
    <t>Ruben Gonzalez Ruiz</t>
  </si>
  <si>
    <t>OTTM980422X2X ( Maria Paula Otero Torres)</t>
  </si>
  <si>
    <t>Vidrio Gutierrez, Mara Sarahi</t>
  </si>
  <si>
    <t>Cervantes Aguilera, Carlos Benjamin</t>
  </si>
  <si>
    <t>Check Up Ginecologico - Cobrar $1,500</t>
  </si>
  <si>
    <t>Valdivia Velazquez, Veronica Estefania</t>
  </si>
  <si>
    <t>33 2177 2650</t>
  </si>
  <si>
    <t>USO DE CONSULTORIO</t>
  </si>
  <si>
    <t>Zavariz Hernández, Estefania</t>
  </si>
  <si>
    <t>Fernandez Andrade, Josette Selene</t>
  </si>
  <si>
    <t>TOMAR: 
- Seguimiento
- Serologias
*Preguntar si su esposo se quiere tomar las serologias aqui y tomar en prox cita*</t>
  </si>
  <si>
    <t>(EX) MT: Dr. Carlos Macias</t>
  </si>
  <si>
    <t>González González, Alejandra</t>
  </si>
  <si>
    <t>Consulta de primera vez (Fertilidad) | Pago $1,500</t>
  </si>
  <si>
    <t>TOMA DE HAM, incluida en check up de fertilidad</t>
  </si>
  <si>
    <t>Medina Archundia, José de Jesús</t>
  </si>
  <si>
    <t>ED INCLUIDA CHECK UP EN PAREJA</t>
  </si>
  <si>
    <t>TOMA DE HAM CHECK UP DE PAREJA</t>
  </si>
  <si>
    <t>Najera Najar, Claudia Carolina</t>
  </si>
  <si>
    <t>de la Cruz Ayala, Verónica Elizabeth</t>
  </si>
  <si>
    <t>Check up gine con promo 1500 PAGADA</t>
  </si>
  <si>
    <t>Prieto, Lilia</t>
  </si>
  <si>
    <t xml:space="preserve">TOMAR:
- Preparacion endometrial
</t>
  </si>
  <si>
    <t xml:space="preserve">TOMAR;- Ferritina- Seguimiento folicular- Serologias- Preoperatorios
ESPOSO: Serologías </t>
  </si>
  <si>
    <t>PROGESTERONA</t>
  </si>
  <si>
    <t>Check Up Ginecológico - Cobrar $1,500</t>
  </si>
  <si>
    <t>TOMA DE BETA</t>
  </si>
  <si>
    <t>Mondragon Rivera, Martha Elena</t>
  </si>
  <si>
    <t>311 108 7231</t>
  </si>
  <si>
    <t>(EX) Paciente: Martha Elena Mondragon Rivera - Procedimiento: Captura ovular para FIV - MT: Dra. Edna Amaro</t>
  </si>
  <si>
    <t>TOMAR:Seguimiento folicular</t>
  </si>
  <si>
    <t>González Palomera, Karla Viridiana</t>
  </si>
  <si>
    <t>Gallegos Pérez, Margarita</t>
  </si>
  <si>
    <t>Tomar AMH.</t>
  </si>
  <si>
    <t>Check Up Gine- anticipo de $450- cobrar $1050</t>
  </si>
  <si>
    <t>Check Up de Fertilidad - Cobrar $2,200</t>
  </si>
  <si>
    <t>Castro Sandoval, Adriana</t>
  </si>
  <si>
    <t>(EX) Paciente: Adriana Castro Sandoval - Procedimiento: Captura ovular para FIV + PGT A - MT: Dra. Ruth Hernandez</t>
  </si>
  <si>
    <t>Guzmán Lemus, Alberto</t>
  </si>
  <si>
    <t>33 2754 1342</t>
  </si>
  <si>
    <t xml:space="preserve">Check Up Ginecológico | Dio anticipo de $600- cobrar $900
</t>
  </si>
  <si>
    <t>tomar HAM, Basales, QS, BH, Grupo sanguíneo, RH y Carrier porfavor :)</t>
  </si>
  <si>
    <t>VAVG950824221 ( Gabriela del Valle Vargas)</t>
  </si>
  <si>
    <t>Palmeros Suarez, Milena</t>
  </si>
  <si>
    <t>Pelayo Pinzon, Nydia Patricia</t>
  </si>
  <si>
    <t>(EX) Paciente: Nydia Patricia Pelayo Pinzon - Procedimiento: Captura ovular para vitri de ovulos - MT: Dra. Leslie Gamiño</t>
  </si>
  <si>
    <t>Rios Esparza, Rogelio Alberto</t>
  </si>
  <si>
    <t>(EX) MT: Dra. Edna Amaro</t>
  </si>
  <si>
    <t>Ojeda Castellon, Devy Michelle</t>
  </si>
  <si>
    <t>Paciente: Devy Michelle Ojeda Castellon - Procedimiento: Captura ovular para FIV - MT: Dra. Edna Amaro</t>
  </si>
  <si>
    <t>González Padrón, Olga Elena</t>
  </si>
  <si>
    <t>Check up de fertilidad- anticipo $660- cobrar $1540- CONGELAMIENTO DE ÓVULOS- Respetar costo de hot sale 20%
SE LE DIO EL RESULTADO DE SU HAM EN LA CONSULTA, POR ESO NO TIENE PLATICA DE RESULTADOS AGENDADA</t>
  </si>
  <si>
    <t>Guerrero Lobato, Mauret</t>
  </si>
  <si>
    <t>Cobrar $3,500
* se tomará la ED, el dia martes, para tener listos los resultados
SE LES DIERON SUS RESULTADOS EN LA CONSULTA</t>
  </si>
  <si>
    <t>Vega Lopez, Adrian</t>
  </si>
  <si>
    <t xml:space="preserve">Espermatobioscopia con fragmentación de ADN y cultivo espermatico - Cobrar $4950
</t>
  </si>
  <si>
    <t>Davila, Lucia</t>
  </si>
  <si>
    <t>Consulta de primera vez (Ginecología) | Cobrar $1,500</t>
  </si>
  <si>
    <t xml:space="preserve">TOMAR;- AMH
</t>
  </si>
  <si>
    <t>TOMAR;- Seguimiento folicular, preoperatorios y serologias</t>
  </si>
  <si>
    <t>HAM INCLUIDA EN CHECK UP DE FERTILIDAD 
viene a la toma de sangre martes, para tener listo los resultados el jueves el dia de su consulta</t>
  </si>
  <si>
    <t>PACIENTE DE LA DRA BLANCA, USO DE CONSUL Y USG  (externo)
cobrar uso de con sultorio $450</t>
  </si>
  <si>
    <t>INICIO INSEMINACIÓN</t>
  </si>
  <si>
    <t>Sierra Valencia, Angelica</t>
  </si>
  <si>
    <t>Check up ginecológico- anticipo de $500- cobrar $1,000</t>
  </si>
  <si>
    <t>Check up ginecológico- anticipo $450- cobrar $1050</t>
  </si>
  <si>
    <t>HAM Incluida en Check up de pareja Miercoles 3 de Junio
- se tomará la HAM martes 02 junio previo a su cita dle miercoles para contar con los resultados el dia de su cita</t>
  </si>
  <si>
    <t>Cervantes Lagunes, Carlos Ariel</t>
  </si>
  <si>
    <t>Incluida en Check Up de Pareja Miercoles 3 de Junio</t>
  </si>
  <si>
    <t>CITA PAGADA $1,500, se adjuntaron sus estudios en documentos, interesda en FIV</t>
  </si>
  <si>
    <t>Recilla Torreblanca, Arturo Nicolás</t>
  </si>
  <si>
    <t>Cortes Martínez, Patricia</t>
  </si>
  <si>
    <t>Cobrar $2,000</t>
  </si>
  <si>
    <t xml:space="preserve">check up de fertilidad 1700 consulta + ham
interesada en donador que se parezca a ellos e inseminación </t>
  </si>
  <si>
    <t>Toma de HAM incluida en cjeck up de fertilidad</t>
  </si>
  <si>
    <t>Check up de fertilidad cobrar $2,200</t>
  </si>
  <si>
    <t>Tomar P4, LH, E2.</t>
  </si>
  <si>
    <t>Martinez Coronel, Jorge</t>
  </si>
  <si>
    <t>Markelz, Christopher Adam</t>
  </si>
  <si>
    <t>Tomar VDRL.</t>
  </si>
  <si>
    <t>Tomar Perfil de Inicio.</t>
  </si>
  <si>
    <t>Brown, Courtney Erin</t>
  </si>
  <si>
    <t>(EX) Paciente: Courtney Brown - Procedimiento: Captura ovular para FIV - MT: Dra. Tanya Barajas</t>
  </si>
  <si>
    <t>Joya Barajas, Erika Maritza</t>
  </si>
  <si>
    <t>(EX) Paciente: Erika Maritza Joya Barajas - Procedimiento: Captura Ovular para FIV - MT: Dra. Amaranta Martinez</t>
  </si>
  <si>
    <t>Martínez Valenzuela, Elsa Guadalupe</t>
  </si>
  <si>
    <t>Consulta de primera vez (Preservación) | Pago $1,500</t>
  </si>
  <si>
    <t>Consulta de primera vez (fertilidad) - Pago $1,500</t>
  </si>
  <si>
    <t>HAM Incluida en Check Up</t>
  </si>
  <si>
    <t>Medina, Kimberly</t>
  </si>
  <si>
    <t>Pago $1,500 - Consulta de primera vez online - se decidió hacer su proceso en EU - su esposo no puede venir a Mex</t>
  </si>
  <si>
    <t>Incluida en check up de fertilidad</t>
  </si>
  <si>
    <t>Check Up Fertilidad- anticipo de $200- cobrar $2000</t>
  </si>
  <si>
    <t>Check-up Ginecológico - Cobrar $1,500</t>
  </si>
  <si>
    <t>Buenrostro Castillo, Miriam</t>
  </si>
  <si>
    <t>(EX) Paciente: Miriam Buenrostro - Procedimiento: Transferencia de embrion congelado - MT: Dra. Ruth Hernandez</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</si>
</sst>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
    <numFmt numFmtId="165" formatCode="h:mm am/p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20" xfId="0" applyAlignment="1" applyFont="1" applyNumberFormat="1">
      <alignment readingOrder="0"/>
    </xf>
    <xf borderId="0" fillId="0" fontId="1" numFmtId="0" xfId="0" applyFont="1"/>
    <xf borderId="0" fillId="0" fontId="1" numFmtId="4" xfId="0" applyAlignment="1" applyFont="1" applyNumberFormat="1">
      <alignment readingOrder="0"/>
    </xf>
    <xf borderId="0" fillId="0" fontId="1" numFmtId="165" xfId="0" applyAlignment="1" applyFont="1" applyNumberForma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2.13"/>
    <col customWidth="1" min="12" max="12" width="32.0"/>
    <col customWidth="1" min="14" max="14" width="4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U1" s="1" t="s">
        <v>19</v>
      </c>
      <c r="V1" s="1" t="s">
        <v>20</v>
      </c>
      <c r="W1" s="1" t="s">
        <v>21</v>
      </c>
      <c r="X1" s="1" t="s">
        <v>22</v>
      </c>
      <c r="Y1" s="1" t="s">
        <v>23</v>
      </c>
      <c r="Z1" s="1" t="s">
        <v>24</v>
      </c>
      <c r="AA1" s="1" t="s">
        <v>25</v>
      </c>
      <c r="AB1" s="1" t="s">
        <v>26</v>
      </c>
      <c r="AC1" s="1" t="s">
        <v>27</v>
      </c>
      <c r="AD1" s="1" t="s">
        <v>28</v>
      </c>
      <c r="AE1" s="1" t="s">
        <v>29</v>
      </c>
      <c r="AF1" s="1" t="s">
        <v>30</v>
      </c>
    </row>
    <row r="2">
      <c r="B2" s="2">
        <v>46199.0</v>
      </c>
      <c r="C2" s="3">
        <v>0.5625</v>
      </c>
      <c r="D2" s="3">
        <v>0.5729166666666666</v>
      </c>
      <c r="E2" s="3">
        <v>0.5625</v>
      </c>
      <c r="F2" s="3">
        <v>0.5770833333333333</v>
      </c>
      <c r="G2" s="1">
        <v>2.05636779349E11</v>
      </c>
      <c r="H2" s="1" t="s">
        <v>31</v>
      </c>
      <c r="J2" s="1" t="s">
        <v>32</v>
      </c>
      <c r="K2" s="4">
        <f>+17622019615</f>
        <v>17622019615</v>
      </c>
      <c r="L2" s="1" t="s">
        <v>33</v>
      </c>
      <c r="M2" s="1" t="s">
        <v>34</v>
      </c>
      <c r="P2" s="1">
        <v>0.0</v>
      </c>
      <c r="Q2" s="5"/>
      <c r="R2" s="1" t="s">
        <v>35</v>
      </c>
      <c r="S2" s="1" t="s">
        <v>35</v>
      </c>
      <c r="U2" s="1" t="s">
        <v>36</v>
      </c>
      <c r="V2" s="1">
        <v>0.0</v>
      </c>
      <c r="W2" s="1">
        <v>21.0</v>
      </c>
      <c r="X2" s="1">
        <v>21.0</v>
      </c>
      <c r="Y2" s="1" t="s">
        <v>37</v>
      </c>
      <c r="AA2" s="1" t="s">
        <v>38</v>
      </c>
      <c r="AB2" s="1">
        <v>0.0</v>
      </c>
      <c r="AC2" s="1">
        <v>0.0</v>
      </c>
      <c r="AD2" s="1">
        <v>0.0</v>
      </c>
      <c r="AE2" s="6">
        <v>0.5625</v>
      </c>
      <c r="AF2" s="1" t="s">
        <v>39</v>
      </c>
    </row>
    <row r="3">
      <c r="B3" s="2">
        <v>46199.0</v>
      </c>
      <c r="C3" s="3">
        <v>0.4166666666666667</v>
      </c>
      <c r="D3" s="3">
        <v>0.4236111111111111</v>
      </c>
      <c r="E3" s="3">
        <v>0.4166666666666667</v>
      </c>
      <c r="F3" s="3">
        <v>0.4236111111111111</v>
      </c>
      <c r="G3" s="1">
        <v>2.31141340749E11</v>
      </c>
      <c r="H3" s="1" t="s">
        <v>40</v>
      </c>
      <c r="J3" s="1" t="s">
        <v>32</v>
      </c>
      <c r="K3" s="4">
        <f t="shared" ref="K3:K4" si="1">+523323218541</f>
        <v>523323218541</v>
      </c>
      <c r="L3" s="1" t="s">
        <v>41</v>
      </c>
      <c r="M3" s="1" t="s">
        <v>42</v>
      </c>
      <c r="N3" s="1" t="s">
        <v>43</v>
      </c>
      <c r="P3" s="1">
        <v>0.0</v>
      </c>
      <c r="Q3" s="5">
        <v>-1750.0</v>
      </c>
      <c r="R3" s="1" t="s">
        <v>44</v>
      </c>
      <c r="S3" s="1" t="s">
        <v>45</v>
      </c>
      <c r="U3" s="1" t="s">
        <v>36</v>
      </c>
      <c r="V3" s="1">
        <v>0.0</v>
      </c>
      <c r="W3" s="1">
        <v>10.0</v>
      </c>
      <c r="X3" s="1">
        <v>10.0</v>
      </c>
      <c r="Y3" s="1" t="s">
        <v>46</v>
      </c>
      <c r="AA3" s="1" t="s">
        <v>38</v>
      </c>
      <c r="AB3" s="1">
        <v>0.0</v>
      </c>
      <c r="AC3" s="1">
        <v>0.0</v>
      </c>
      <c r="AD3" s="1">
        <v>0.0</v>
      </c>
      <c r="AE3" s="6">
        <v>0.4166666666666667</v>
      </c>
      <c r="AF3" s="1" t="s">
        <v>39</v>
      </c>
    </row>
    <row r="4">
      <c r="B4" s="2">
        <v>46199.0</v>
      </c>
      <c r="C4" s="3">
        <v>0.4166666666666667</v>
      </c>
      <c r="D4" s="3">
        <v>0.4583333333333333</v>
      </c>
      <c r="E4" s="3">
        <v>0.4166666666666667</v>
      </c>
      <c r="F4" s="3">
        <v>0.4701388888888889</v>
      </c>
      <c r="G4" s="1">
        <v>2.31141340749E11</v>
      </c>
      <c r="H4" s="1" t="s">
        <v>40</v>
      </c>
      <c r="J4" s="1" t="s">
        <v>32</v>
      </c>
      <c r="K4" s="4">
        <f t="shared" si="1"/>
        <v>523323218541</v>
      </c>
      <c r="L4" s="1" t="s">
        <v>47</v>
      </c>
      <c r="M4" s="1" t="s">
        <v>48</v>
      </c>
      <c r="N4" s="1" t="s">
        <v>49</v>
      </c>
      <c r="P4" s="5">
        <v>0.0</v>
      </c>
      <c r="Q4" s="5">
        <v>-1750.0</v>
      </c>
      <c r="R4" s="1" t="s">
        <v>45</v>
      </c>
      <c r="S4" s="1" t="s">
        <v>45</v>
      </c>
      <c r="U4" s="1" t="s">
        <v>36</v>
      </c>
      <c r="V4" s="1">
        <v>29.0</v>
      </c>
      <c r="W4" s="1">
        <v>48.0</v>
      </c>
      <c r="X4" s="1">
        <v>77.0</v>
      </c>
      <c r="Y4" s="1" t="s">
        <v>50</v>
      </c>
      <c r="AA4" s="1" t="s">
        <v>38</v>
      </c>
      <c r="AB4" s="1">
        <v>0.0</v>
      </c>
      <c r="AC4" s="1">
        <v>0.0</v>
      </c>
      <c r="AD4" s="1">
        <v>0.0</v>
      </c>
      <c r="AE4" s="6">
        <v>0.43680555555555556</v>
      </c>
      <c r="AF4" s="1" t="s">
        <v>39</v>
      </c>
    </row>
    <row r="5">
      <c r="B5" s="2">
        <v>46199.0</v>
      </c>
      <c r="C5" s="3">
        <v>0.5</v>
      </c>
      <c r="D5" s="3">
        <v>0.53125</v>
      </c>
      <c r="E5" s="3">
        <v>0.5</v>
      </c>
      <c r="F5" s="3">
        <v>0.5291666666666667</v>
      </c>
      <c r="H5" s="1" t="s">
        <v>51</v>
      </c>
      <c r="J5" s="1" t="s">
        <v>32</v>
      </c>
      <c r="K5" s="1">
        <v>345.0</v>
      </c>
      <c r="L5" s="1" t="s">
        <v>52</v>
      </c>
      <c r="M5" s="1" t="s">
        <v>42</v>
      </c>
      <c r="P5" s="5">
        <v>0.0</v>
      </c>
      <c r="Q5" s="1">
        <v>0.0</v>
      </c>
      <c r="R5" s="1" t="s">
        <v>53</v>
      </c>
      <c r="S5" s="1" t="s">
        <v>54</v>
      </c>
      <c r="U5" s="1" t="s">
        <v>55</v>
      </c>
      <c r="V5" s="1">
        <v>0.0</v>
      </c>
      <c r="W5" s="1">
        <v>42.0</v>
      </c>
      <c r="X5" s="1">
        <v>42.0</v>
      </c>
      <c r="Y5" s="1" t="s">
        <v>56</v>
      </c>
      <c r="AA5" s="1" t="s">
        <v>38</v>
      </c>
      <c r="AB5" s="1">
        <v>0.0</v>
      </c>
      <c r="AC5" s="1">
        <v>0.0</v>
      </c>
      <c r="AD5" s="1">
        <v>0.0</v>
      </c>
      <c r="AE5" s="6">
        <v>0.5</v>
      </c>
      <c r="AF5" s="1" t="s">
        <v>39</v>
      </c>
    </row>
    <row r="6">
      <c r="B6" s="2">
        <v>46199.0</v>
      </c>
      <c r="C6" s="3">
        <v>0.5902777777777778</v>
      </c>
      <c r="D6" s="3">
        <v>0.6180555555555556</v>
      </c>
      <c r="E6" s="3">
        <v>0.5902777777777778</v>
      </c>
      <c r="F6" s="3">
        <v>0.6145833333333334</v>
      </c>
      <c r="H6" s="1" t="s">
        <v>57</v>
      </c>
      <c r="J6" s="1" t="s">
        <v>32</v>
      </c>
      <c r="K6" s="1">
        <v>1234.0</v>
      </c>
      <c r="L6" s="1" t="s">
        <v>58</v>
      </c>
      <c r="M6" s="1" t="s">
        <v>59</v>
      </c>
      <c r="N6" s="1" t="s">
        <v>60</v>
      </c>
      <c r="P6" s="5">
        <v>0.0</v>
      </c>
      <c r="Q6" s="1">
        <v>0.0</v>
      </c>
      <c r="R6" s="1" t="s">
        <v>53</v>
      </c>
      <c r="S6" s="1" t="s">
        <v>54</v>
      </c>
      <c r="U6" s="1" t="s">
        <v>55</v>
      </c>
      <c r="V6" s="1">
        <v>17.0</v>
      </c>
      <c r="W6" s="1">
        <v>18.0</v>
      </c>
      <c r="X6" s="1">
        <v>35.0</v>
      </c>
      <c r="Y6" s="1" t="s">
        <v>56</v>
      </c>
      <c r="AA6" s="1" t="s">
        <v>38</v>
      </c>
      <c r="AB6" s="1">
        <v>0.0</v>
      </c>
      <c r="AC6" s="1">
        <v>0.0</v>
      </c>
      <c r="AD6" s="1">
        <v>0.0</v>
      </c>
      <c r="AE6" s="6">
        <v>0.6020833333333333</v>
      </c>
      <c r="AF6" s="1" t="s">
        <v>39</v>
      </c>
    </row>
    <row r="7">
      <c r="B7" s="2">
        <v>46199.0</v>
      </c>
      <c r="C7" s="3">
        <v>0.4270833333333333</v>
      </c>
      <c r="D7" s="3">
        <v>0.4340277777777778</v>
      </c>
      <c r="E7" s="3">
        <v>0.4270833333333333</v>
      </c>
      <c r="F7" s="3">
        <v>0.4236111111111111</v>
      </c>
      <c r="G7" s="1">
        <v>2.20498777401E11</v>
      </c>
      <c r="H7" s="1" t="s">
        <v>61</v>
      </c>
      <c r="J7" s="1" t="s">
        <v>32</v>
      </c>
      <c r="K7" s="4" t="str">
        <f>+1 469 682 8679</f>
        <v>#ERROR!</v>
      </c>
      <c r="L7" s="1" t="s">
        <v>41</v>
      </c>
      <c r="M7" s="1" t="s">
        <v>42</v>
      </c>
      <c r="P7" s="5">
        <v>28050.0</v>
      </c>
      <c r="R7" s="1" t="s">
        <v>44</v>
      </c>
      <c r="S7" s="1" t="s">
        <v>62</v>
      </c>
      <c r="U7" s="1" t="s">
        <v>55</v>
      </c>
      <c r="V7" s="1">
        <v>0.0</v>
      </c>
      <c r="W7" s="1">
        <v>-5.0</v>
      </c>
      <c r="X7" s="1">
        <v>-5.0</v>
      </c>
      <c r="Y7" s="1" t="s">
        <v>63</v>
      </c>
      <c r="AA7" s="1" t="s">
        <v>64</v>
      </c>
      <c r="AB7" s="1">
        <v>0.0</v>
      </c>
      <c r="AC7" s="1">
        <v>0.0</v>
      </c>
      <c r="AD7" s="1">
        <v>0.0</v>
      </c>
      <c r="AE7" s="6">
        <v>0.4270833333333333</v>
      </c>
      <c r="AF7" s="1" t="s">
        <v>39</v>
      </c>
    </row>
    <row r="8">
      <c r="B8" s="2">
        <v>46199.0</v>
      </c>
      <c r="C8" s="3">
        <v>0.375</v>
      </c>
      <c r="D8" s="3">
        <v>0.3958333333333333</v>
      </c>
      <c r="E8" s="3">
        <v>0.375</v>
      </c>
      <c r="F8" s="3">
        <v>0.3972222222222222</v>
      </c>
      <c r="H8" s="1" t="s">
        <v>65</v>
      </c>
      <c r="J8" s="1" t="s">
        <v>32</v>
      </c>
      <c r="K8" s="4">
        <f>+52-34-81-76059</f>
        <v>-76122</v>
      </c>
      <c r="L8" s="1" t="s">
        <v>66</v>
      </c>
      <c r="M8" s="1" t="s">
        <v>34</v>
      </c>
      <c r="N8" s="1" t="s">
        <v>67</v>
      </c>
      <c r="P8" s="5">
        <v>28000.0</v>
      </c>
      <c r="Q8" s="1">
        <v>0.0</v>
      </c>
      <c r="R8" s="1" t="s">
        <v>45</v>
      </c>
      <c r="S8" s="1" t="s">
        <v>45</v>
      </c>
      <c r="U8" s="1" t="s">
        <v>55</v>
      </c>
      <c r="V8" s="1">
        <v>15.0</v>
      </c>
      <c r="W8" s="1">
        <v>17.0</v>
      </c>
      <c r="X8" s="1">
        <v>32.0</v>
      </c>
      <c r="Y8" s="1" t="s">
        <v>50</v>
      </c>
      <c r="AA8" s="1" t="s">
        <v>38</v>
      </c>
      <c r="AB8" s="1">
        <v>0.0</v>
      </c>
      <c r="AC8" s="1">
        <v>0.0</v>
      </c>
      <c r="AD8" s="1">
        <v>0.0</v>
      </c>
      <c r="AE8" s="6">
        <v>0.3854166666666667</v>
      </c>
      <c r="AF8" s="1" t="s">
        <v>39</v>
      </c>
    </row>
    <row r="9">
      <c r="B9" s="2">
        <v>46199.0</v>
      </c>
      <c r="C9" s="3">
        <v>0.4166666666666667</v>
      </c>
      <c r="D9" s="3">
        <v>0.4375</v>
      </c>
      <c r="E9" s="3">
        <v>0.4166666666666667</v>
      </c>
      <c r="F9" s="3">
        <v>0.43472222222222223</v>
      </c>
      <c r="G9" s="1">
        <v>2.20498777401E11</v>
      </c>
      <c r="H9" s="1" t="s">
        <v>61</v>
      </c>
      <c r="J9" s="1" t="s">
        <v>32</v>
      </c>
      <c r="K9" s="4" t="str">
        <f>+1 469 682 8679</f>
        <v>#ERROR!</v>
      </c>
      <c r="L9" s="1" t="s">
        <v>66</v>
      </c>
      <c r="M9" s="1" t="s">
        <v>34</v>
      </c>
      <c r="N9" s="1" t="s">
        <v>68</v>
      </c>
      <c r="P9" s="5">
        <v>28050.0</v>
      </c>
      <c r="R9" s="1" t="s">
        <v>62</v>
      </c>
      <c r="S9" s="1" t="s">
        <v>62</v>
      </c>
      <c r="U9" s="1" t="s">
        <v>55</v>
      </c>
      <c r="V9" s="1">
        <v>0.0</v>
      </c>
      <c r="W9" s="1">
        <v>26.0</v>
      </c>
      <c r="X9" s="1">
        <v>26.0</v>
      </c>
      <c r="Y9" s="1" t="s">
        <v>50</v>
      </c>
      <c r="AA9" s="1" t="s">
        <v>64</v>
      </c>
      <c r="AB9" s="1">
        <v>0.0</v>
      </c>
      <c r="AC9" s="1">
        <v>0.0</v>
      </c>
      <c r="AD9" s="1">
        <v>0.0</v>
      </c>
      <c r="AE9" s="6">
        <v>0.4166666666666667</v>
      </c>
      <c r="AF9" s="1" t="s">
        <v>39</v>
      </c>
    </row>
    <row r="10">
      <c r="B10" s="2">
        <v>46199.0</v>
      </c>
      <c r="C10" s="3">
        <v>0.5</v>
      </c>
      <c r="D10" s="3">
        <v>0.5104166666666666</v>
      </c>
      <c r="E10" s="3">
        <v>0.6180555555555556</v>
      </c>
      <c r="F10" s="3">
        <v>0.5027777777777778</v>
      </c>
      <c r="G10" s="1">
        <v>2.28999811988E11</v>
      </c>
      <c r="H10" s="1" t="s">
        <v>69</v>
      </c>
      <c r="J10" s="1" t="s">
        <v>32</v>
      </c>
      <c r="K10" s="4">
        <f>+523314097116</f>
        <v>523314097116</v>
      </c>
      <c r="L10" s="1" t="s">
        <v>33</v>
      </c>
      <c r="M10" s="1" t="s">
        <v>34</v>
      </c>
      <c r="P10" s="1">
        <v>0.0</v>
      </c>
      <c r="R10" s="1" t="s">
        <v>70</v>
      </c>
      <c r="S10" s="1" t="s">
        <v>70</v>
      </c>
      <c r="U10" s="1" t="s">
        <v>36</v>
      </c>
      <c r="V10" s="1">
        <v>0.0</v>
      </c>
      <c r="W10" s="1">
        <v>-166.0</v>
      </c>
      <c r="X10" s="1">
        <v>-166.0</v>
      </c>
      <c r="Y10" s="1" t="s">
        <v>56</v>
      </c>
      <c r="AA10" s="1" t="s">
        <v>38</v>
      </c>
      <c r="AB10" s="1">
        <v>0.0</v>
      </c>
      <c r="AC10" s="1">
        <v>0.0</v>
      </c>
      <c r="AD10" s="1">
        <v>0.0</v>
      </c>
      <c r="AE10" s="6">
        <v>0.6180555555555556</v>
      </c>
      <c r="AF10" s="1" t="s">
        <v>39</v>
      </c>
    </row>
    <row r="11">
      <c r="B11" s="2">
        <v>46199.0</v>
      </c>
      <c r="C11" s="3">
        <v>0.4791666666666667</v>
      </c>
      <c r="D11" s="3">
        <v>0.5104166666666666</v>
      </c>
      <c r="E11" s="3">
        <v>0.4625</v>
      </c>
      <c r="F11" s="3">
        <v>0.4840277777777778</v>
      </c>
      <c r="G11" s="1">
        <v>2.15989615652E11</v>
      </c>
      <c r="H11" s="1" t="s">
        <v>71</v>
      </c>
      <c r="J11" s="1" t="s">
        <v>32</v>
      </c>
      <c r="K11" s="4">
        <f>+5213312215158</f>
        <v>5213312215158</v>
      </c>
      <c r="L11" s="1" t="s">
        <v>52</v>
      </c>
      <c r="M11" s="1" t="s">
        <v>42</v>
      </c>
      <c r="P11" s="5">
        <v>0.0</v>
      </c>
      <c r="Q11" s="1">
        <v>0.0</v>
      </c>
      <c r="R11" s="1" t="s">
        <v>53</v>
      </c>
      <c r="S11" s="1" t="s">
        <v>53</v>
      </c>
      <c r="U11" s="1" t="s">
        <v>55</v>
      </c>
      <c r="V11" s="1">
        <v>0.0</v>
      </c>
      <c r="W11" s="1">
        <v>31.0</v>
      </c>
      <c r="X11" s="1">
        <v>31.0</v>
      </c>
      <c r="Y11" s="1" t="s">
        <v>56</v>
      </c>
      <c r="AA11" s="1" t="s">
        <v>38</v>
      </c>
      <c r="AB11" s="1">
        <v>0.0</v>
      </c>
      <c r="AC11" s="1">
        <v>0.0</v>
      </c>
      <c r="AD11" s="1">
        <v>0.0</v>
      </c>
      <c r="AE11" s="6">
        <v>0.4625</v>
      </c>
      <c r="AF11" s="1" t="s">
        <v>39</v>
      </c>
    </row>
    <row r="12">
      <c r="B12" s="2">
        <v>46199.0</v>
      </c>
      <c r="C12" s="3">
        <v>0.5625</v>
      </c>
      <c r="D12" s="3">
        <v>0.5902777777777778</v>
      </c>
      <c r="E12" s="3">
        <v>0.5625</v>
      </c>
      <c r="F12" s="3">
        <v>0.6013888888888889</v>
      </c>
      <c r="H12" s="1" t="s">
        <v>72</v>
      </c>
      <c r="J12" s="1" t="s">
        <v>32</v>
      </c>
      <c r="K12" s="1">
        <v>6.62106816E8</v>
      </c>
      <c r="L12" s="1" t="s">
        <v>58</v>
      </c>
      <c r="M12" s="1" t="s">
        <v>59</v>
      </c>
      <c r="N12" s="1" t="s">
        <v>73</v>
      </c>
      <c r="P12" s="5">
        <v>0.0</v>
      </c>
      <c r="Q12" s="1">
        <v>0.0</v>
      </c>
      <c r="R12" s="1" t="s">
        <v>53</v>
      </c>
      <c r="S12" s="1" t="s">
        <v>54</v>
      </c>
      <c r="U12" s="1" t="s">
        <v>55</v>
      </c>
      <c r="V12" s="1">
        <v>0.0</v>
      </c>
      <c r="W12" s="1">
        <v>56.0</v>
      </c>
      <c r="X12" s="1">
        <v>56.0</v>
      </c>
      <c r="Y12" s="1" t="s">
        <v>56</v>
      </c>
      <c r="AA12" s="1" t="s">
        <v>38</v>
      </c>
      <c r="AB12" s="1">
        <v>0.0</v>
      </c>
      <c r="AC12" s="1">
        <v>0.0</v>
      </c>
      <c r="AD12" s="1">
        <v>0.0</v>
      </c>
      <c r="AE12" s="6">
        <v>0.5625</v>
      </c>
      <c r="AF12" s="1" t="s">
        <v>39</v>
      </c>
    </row>
    <row r="13">
      <c r="B13" s="2">
        <v>46199.0</v>
      </c>
      <c r="C13" s="3">
        <v>0.3541666666666667</v>
      </c>
      <c r="D13" s="3">
        <v>0.3854166666666667</v>
      </c>
      <c r="E13" s="3">
        <v>0.3541666666666667</v>
      </c>
      <c r="F13" s="3">
        <v>0.38472222222222224</v>
      </c>
      <c r="H13" s="1" t="s">
        <v>74</v>
      </c>
      <c r="J13" s="1" t="s">
        <v>32</v>
      </c>
      <c r="K13" s="4" t="str">
        <f>+52 353 123 1063</f>
        <v>#ERROR!</v>
      </c>
      <c r="L13" s="1" t="s">
        <v>75</v>
      </c>
      <c r="M13" s="1" t="s">
        <v>42</v>
      </c>
      <c r="N13" s="1" t="s">
        <v>76</v>
      </c>
      <c r="P13" s="5">
        <v>0.0</v>
      </c>
      <c r="Q13" s="1">
        <v>0.0</v>
      </c>
      <c r="R13" s="1" t="s">
        <v>53</v>
      </c>
      <c r="S13" s="1" t="s">
        <v>77</v>
      </c>
      <c r="U13" s="1" t="s">
        <v>55</v>
      </c>
      <c r="V13" s="1">
        <v>0.0</v>
      </c>
      <c r="W13" s="1">
        <v>44.0</v>
      </c>
      <c r="X13" s="1">
        <v>44.0</v>
      </c>
      <c r="Y13" s="1" t="s">
        <v>78</v>
      </c>
      <c r="AA13" s="1" t="s">
        <v>38</v>
      </c>
      <c r="AB13" s="1">
        <v>0.0</v>
      </c>
      <c r="AC13" s="1">
        <v>0.0</v>
      </c>
      <c r="AD13" s="1">
        <v>0.0</v>
      </c>
      <c r="AE13" s="6">
        <v>0.3541666666666667</v>
      </c>
      <c r="AF13" s="1" t="s">
        <v>39</v>
      </c>
    </row>
    <row r="14">
      <c r="B14" s="2">
        <v>46199.0</v>
      </c>
      <c r="C14" s="3">
        <v>0.34375</v>
      </c>
      <c r="D14" s="3">
        <v>0.3506944444444444</v>
      </c>
      <c r="E14" s="3">
        <v>0.34375</v>
      </c>
      <c r="F14" s="3">
        <v>0.35208333333333336</v>
      </c>
      <c r="G14" s="1">
        <v>2.28852107895E11</v>
      </c>
      <c r="H14" s="1" t="s">
        <v>79</v>
      </c>
      <c r="J14" s="1" t="s">
        <v>32</v>
      </c>
      <c r="K14" s="4">
        <f>+5213319780376</f>
        <v>5213319780376</v>
      </c>
      <c r="L14" s="1" t="s">
        <v>41</v>
      </c>
      <c r="M14" s="1" t="s">
        <v>42</v>
      </c>
      <c r="N14" s="1" t="s">
        <v>80</v>
      </c>
      <c r="P14" s="5">
        <v>0.0</v>
      </c>
      <c r="R14" s="1" t="s">
        <v>44</v>
      </c>
      <c r="S14" s="1" t="s">
        <v>62</v>
      </c>
      <c r="U14" s="1" t="s">
        <v>36</v>
      </c>
      <c r="V14" s="1">
        <v>0.0</v>
      </c>
      <c r="W14" s="1">
        <v>12.0</v>
      </c>
      <c r="X14" s="1">
        <v>12.0</v>
      </c>
      <c r="Y14" s="1" t="s">
        <v>81</v>
      </c>
      <c r="AA14" s="1" t="s">
        <v>38</v>
      </c>
      <c r="AB14" s="1">
        <v>0.0</v>
      </c>
      <c r="AC14" s="1">
        <v>0.0</v>
      </c>
      <c r="AD14" s="1">
        <v>0.0</v>
      </c>
      <c r="AE14" s="6">
        <v>0.34375</v>
      </c>
      <c r="AF14" s="1" t="s">
        <v>39</v>
      </c>
    </row>
    <row r="15">
      <c r="B15" s="2">
        <v>46199.0</v>
      </c>
      <c r="C15" s="3">
        <v>0.375</v>
      </c>
      <c r="D15" s="3">
        <v>0.4166666666666667</v>
      </c>
      <c r="E15" s="3">
        <v>0.375</v>
      </c>
      <c r="F15" s="3">
        <v>0.4201388888888889</v>
      </c>
      <c r="G15" s="1">
        <v>7.9645558694E10</v>
      </c>
      <c r="H15" s="1" t="s">
        <v>82</v>
      </c>
      <c r="J15" s="1" t="s">
        <v>32</v>
      </c>
      <c r="K15" s="4">
        <f>+523313558111</f>
        <v>523313558111</v>
      </c>
      <c r="L15" s="1" t="s">
        <v>83</v>
      </c>
      <c r="M15" s="1" t="s">
        <v>48</v>
      </c>
      <c r="N15" s="1" t="s">
        <v>84</v>
      </c>
      <c r="P15" s="5">
        <v>0.0</v>
      </c>
      <c r="Q15" s="1">
        <v>0.0</v>
      </c>
      <c r="R15" s="1" t="s">
        <v>62</v>
      </c>
      <c r="S15" s="1" t="s">
        <v>62</v>
      </c>
      <c r="U15" s="1" t="s">
        <v>55</v>
      </c>
      <c r="V15" s="1">
        <v>16.0</v>
      </c>
      <c r="W15" s="1">
        <v>49.0</v>
      </c>
      <c r="X15" s="1">
        <v>65.0</v>
      </c>
      <c r="Y15" s="1" t="s">
        <v>50</v>
      </c>
      <c r="AA15" s="1" t="s">
        <v>38</v>
      </c>
      <c r="AB15" s="1">
        <v>0.0</v>
      </c>
      <c r="AC15" s="1">
        <v>0.0</v>
      </c>
      <c r="AD15" s="1">
        <v>0.0</v>
      </c>
      <c r="AE15" s="6">
        <v>0.3861111111111111</v>
      </c>
      <c r="AF15" s="1" t="s">
        <v>39</v>
      </c>
    </row>
    <row r="16">
      <c r="B16" s="2">
        <v>46199.0</v>
      </c>
      <c r="C16" s="3">
        <v>0.5416666666666666</v>
      </c>
      <c r="D16" s="3">
        <v>0.5625</v>
      </c>
      <c r="E16" s="3">
        <v>0.5416666666666666</v>
      </c>
      <c r="F16" s="3">
        <v>0.5611111111111111</v>
      </c>
      <c r="H16" s="1" t="s">
        <v>85</v>
      </c>
      <c r="J16" s="1" t="s">
        <v>32</v>
      </c>
      <c r="K16" s="4" t="str">
        <f>+52 33 2190 7576</f>
        <v>#ERROR!</v>
      </c>
      <c r="L16" s="1" t="s">
        <v>86</v>
      </c>
      <c r="M16" s="1" t="s">
        <v>87</v>
      </c>
      <c r="N16" s="1" t="s">
        <v>88</v>
      </c>
      <c r="P16" s="5">
        <v>0.0</v>
      </c>
      <c r="Q16" s="1">
        <v>0.0</v>
      </c>
      <c r="R16" s="1" t="s">
        <v>53</v>
      </c>
      <c r="S16" s="1" t="s">
        <v>54</v>
      </c>
      <c r="U16" s="1" t="s">
        <v>55</v>
      </c>
      <c r="V16" s="1">
        <v>0.0</v>
      </c>
      <c r="W16" s="1">
        <v>28.0</v>
      </c>
      <c r="X16" s="1">
        <v>28.0</v>
      </c>
      <c r="Y16" s="1" t="s">
        <v>78</v>
      </c>
      <c r="AA16" s="1" t="s">
        <v>38</v>
      </c>
      <c r="AB16" s="1">
        <v>0.0</v>
      </c>
      <c r="AC16" s="1">
        <v>0.0</v>
      </c>
      <c r="AD16" s="1">
        <v>0.0</v>
      </c>
      <c r="AE16" s="6">
        <v>0.5416666666666666</v>
      </c>
      <c r="AF16" s="1" t="s">
        <v>39</v>
      </c>
    </row>
    <row r="17">
      <c r="B17" s="2">
        <v>46199.0</v>
      </c>
      <c r="C17" s="3">
        <v>0.5</v>
      </c>
      <c r="D17" s="3">
        <v>0.5208333333333334</v>
      </c>
      <c r="E17" s="3">
        <v>0.5</v>
      </c>
      <c r="F17" s="3">
        <v>0.5104166666666666</v>
      </c>
      <c r="H17" s="1" t="s">
        <v>89</v>
      </c>
      <c r="J17" s="1" t="s">
        <v>32</v>
      </c>
      <c r="K17" s="4" t="str">
        <f>+52 33 1459 2125</f>
        <v>#ERROR!</v>
      </c>
      <c r="L17" s="1" t="s">
        <v>90</v>
      </c>
      <c r="M17" s="1" t="s">
        <v>87</v>
      </c>
      <c r="N17" s="1" t="s">
        <v>91</v>
      </c>
      <c r="P17" s="1">
        <v>0.0</v>
      </c>
      <c r="R17" s="1" t="s">
        <v>53</v>
      </c>
      <c r="S17" s="1" t="s">
        <v>54</v>
      </c>
      <c r="U17" s="1" t="s">
        <v>55</v>
      </c>
      <c r="V17" s="1">
        <v>-23.0</v>
      </c>
      <c r="W17" s="1">
        <v>38.0</v>
      </c>
      <c r="X17" s="1">
        <v>15.0</v>
      </c>
      <c r="Y17" s="1" t="s">
        <v>78</v>
      </c>
      <c r="AA17" s="1" t="s">
        <v>38</v>
      </c>
      <c r="AB17" s="1">
        <v>0.0</v>
      </c>
      <c r="AC17" s="1">
        <v>0.0</v>
      </c>
      <c r="AD17" s="1">
        <v>0.0</v>
      </c>
      <c r="AE17" s="6">
        <v>0.4840277777777778</v>
      </c>
      <c r="AF17" s="1" t="s">
        <v>39</v>
      </c>
    </row>
    <row r="18">
      <c r="B18" s="2">
        <v>46198.0</v>
      </c>
      <c r="C18" s="3">
        <v>0.5</v>
      </c>
      <c r="D18" s="3">
        <v>0.5104166666666666</v>
      </c>
      <c r="E18" s="3">
        <v>0.5</v>
      </c>
      <c r="F18" s="3">
        <v>0.5381944444444444</v>
      </c>
      <c r="G18" s="1">
        <v>2.2643961378E11</v>
      </c>
      <c r="H18" s="1" t="s">
        <v>92</v>
      </c>
      <c r="J18" s="1" t="s">
        <v>32</v>
      </c>
      <c r="K18" s="4">
        <f>+523316048468</f>
        <v>523316048468</v>
      </c>
      <c r="L18" s="1" t="s">
        <v>33</v>
      </c>
      <c r="M18" s="1" t="s">
        <v>34</v>
      </c>
      <c r="N18" s="1" t="s">
        <v>93</v>
      </c>
      <c r="P18" s="5">
        <v>0.0</v>
      </c>
      <c r="R18" s="1" t="s">
        <v>70</v>
      </c>
      <c r="S18" s="1" t="s">
        <v>70</v>
      </c>
      <c r="U18" s="1" t="s">
        <v>36</v>
      </c>
      <c r="V18" s="1">
        <v>0.0</v>
      </c>
      <c r="W18" s="1">
        <v>55.0</v>
      </c>
      <c r="X18" s="1">
        <v>55.0</v>
      </c>
      <c r="Y18" s="1" t="s">
        <v>37</v>
      </c>
      <c r="AA18" s="1" t="s">
        <v>38</v>
      </c>
      <c r="AB18" s="1">
        <v>0.0</v>
      </c>
      <c r="AC18" s="1">
        <v>0.0</v>
      </c>
      <c r="AD18" s="1">
        <v>0.0</v>
      </c>
      <c r="AE18" s="6">
        <v>0.5</v>
      </c>
      <c r="AF18" s="1" t="s">
        <v>39</v>
      </c>
    </row>
    <row r="19">
      <c r="B19" s="2">
        <v>46198.0</v>
      </c>
      <c r="C19" s="3">
        <v>0.375</v>
      </c>
      <c r="D19" s="3">
        <v>0.40625</v>
      </c>
      <c r="E19" s="3">
        <v>0.375</v>
      </c>
      <c r="F19" s="3">
        <v>0.38055555555555554</v>
      </c>
      <c r="G19" s="1">
        <v>2.30960593459E11</v>
      </c>
      <c r="H19" s="1" t="s">
        <v>94</v>
      </c>
      <c r="J19" s="1" t="s">
        <v>32</v>
      </c>
      <c r="K19" s="4">
        <f>+523333842778</f>
        <v>523333842778</v>
      </c>
      <c r="L19" s="1" t="s">
        <v>75</v>
      </c>
      <c r="M19" s="1" t="s">
        <v>42</v>
      </c>
      <c r="N19" s="1" t="s">
        <v>95</v>
      </c>
      <c r="P19" s="1">
        <v>0.0</v>
      </c>
      <c r="R19" s="1" t="s">
        <v>53</v>
      </c>
      <c r="S19" s="1" t="s">
        <v>53</v>
      </c>
      <c r="U19" s="1" t="s">
        <v>36</v>
      </c>
      <c r="V19" s="1">
        <v>0.0</v>
      </c>
      <c r="W19" s="1">
        <v>8.0</v>
      </c>
      <c r="X19" s="1">
        <v>8.0</v>
      </c>
      <c r="Y19" s="1" t="s">
        <v>50</v>
      </c>
      <c r="AA19" s="1" t="s">
        <v>38</v>
      </c>
      <c r="AB19" s="1">
        <v>0.0</v>
      </c>
      <c r="AC19" s="1">
        <v>0.0</v>
      </c>
      <c r="AD19" s="1">
        <v>0.0</v>
      </c>
      <c r="AE19" s="6">
        <v>0.375</v>
      </c>
      <c r="AF19" s="1" t="s">
        <v>39</v>
      </c>
    </row>
    <row r="20">
      <c r="B20" s="2">
        <v>46198.0</v>
      </c>
      <c r="C20" s="3">
        <v>0.375</v>
      </c>
      <c r="D20" s="3">
        <v>0.3854166666666667</v>
      </c>
      <c r="E20" s="3">
        <v>0.375</v>
      </c>
      <c r="F20" s="3">
        <v>0.4076388888888889</v>
      </c>
      <c r="G20" s="1">
        <v>1.22822030101E11</v>
      </c>
      <c r="H20" s="1" t="s">
        <v>96</v>
      </c>
      <c r="J20" s="1" t="s">
        <v>32</v>
      </c>
      <c r="K20" s="1">
        <v>9.167431507E9</v>
      </c>
      <c r="L20" s="1" t="s">
        <v>97</v>
      </c>
      <c r="M20" s="1" t="s">
        <v>42</v>
      </c>
      <c r="N20" s="1" t="s">
        <v>98</v>
      </c>
      <c r="P20" s="5">
        <v>15187.5</v>
      </c>
      <c r="R20" s="1" t="s">
        <v>44</v>
      </c>
      <c r="S20" s="1" t="s">
        <v>45</v>
      </c>
      <c r="U20" s="1" t="s">
        <v>55</v>
      </c>
      <c r="V20" s="1">
        <v>0.0</v>
      </c>
      <c r="W20" s="1">
        <v>47.0</v>
      </c>
      <c r="X20" s="1">
        <v>47.0</v>
      </c>
      <c r="Y20" s="1" t="s">
        <v>99</v>
      </c>
      <c r="AB20" s="1">
        <v>0.0</v>
      </c>
      <c r="AC20" s="1">
        <v>0.0</v>
      </c>
      <c r="AD20" s="1">
        <v>0.0</v>
      </c>
      <c r="AE20" s="6">
        <v>0.375</v>
      </c>
      <c r="AF20" s="1" t="s">
        <v>39</v>
      </c>
    </row>
    <row r="21">
      <c r="B21" s="2">
        <v>46198.0</v>
      </c>
      <c r="C21" s="3">
        <v>0.59375</v>
      </c>
      <c r="D21" s="3">
        <v>0.6145833333333334</v>
      </c>
      <c r="E21" s="3">
        <v>0.59375</v>
      </c>
      <c r="F21" s="3">
        <v>0.5902777777777778</v>
      </c>
      <c r="G21" s="1">
        <v>9.4335666501E10</v>
      </c>
      <c r="H21" s="1" t="s">
        <v>100</v>
      </c>
      <c r="J21" s="1" t="s">
        <v>32</v>
      </c>
      <c r="K21" s="4">
        <f>+523313273436</f>
        <v>523313273436</v>
      </c>
      <c r="L21" s="1" t="s">
        <v>101</v>
      </c>
      <c r="M21" s="1" t="s">
        <v>59</v>
      </c>
      <c r="N21" s="1" t="s">
        <v>67</v>
      </c>
      <c r="P21" s="5">
        <v>15000.0</v>
      </c>
      <c r="Q21" s="1">
        <v>0.0</v>
      </c>
      <c r="R21" s="1" t="s">
        <v>45</v>
      </c>
      <c r="S21" s="1" t="s">
        <v>45</v>
      </c>
      <c r="U21" s="1" t="s">
        <v>36</v>
      </c>
      <c r="V21" s="1">
        <v>0.0</v>
      </c>
      <c r="W21" s="1">
        <v>-5.0</v>
      </c>
      <c r="X21" s="1">
        <v>-5.0</v>
      </c>
      <c r="Y21" s="1" t="s">
        <v>50</v>
      </c>
      <c r="AA21" s="1" t="s">
        <v>38</v>
      </c>
      <c r="AB21" s="1">
        <v>0.0</v>
      </c>
      <c r="AC21" s="1">
        <v>0.0</v>
      </c>
      <c r="AD21" s="1">
        <v>0.0</v>
      </c>
      <c r="AE21" s="6">
        <v>0.59375</v>
      </c>
      <c r="AF21" s="1" t="s">
        <v>39</v>
      </c>
    </row>
    <row r="22">
      <c r="B22" s="2">
        <v>46198.0</v>
      </c>
      <c r="C22" s="3">
        <v>0.375</v>
      </c>
      <c r="D22" s="3">
        <v>0.3958333333333333</v>
      </c>
      <c r="E22" s="3">
        <v>0.375</v>
      </c>
      <c r="F22" s="3">
        <v>0.4236111111111111</v>
      </c>
      <c r="G22" s="1">
        <v>1.22822030101E11</v>
      </c>
      <c r="H22" s="1" t="s">
        <v>96</v>
      </c>
      <c r="J22" s="1" t="s">
        <v>32</v>
      </c>
      <c r="K22" s="1">
        <v>9.167431507E9</v>
      </c>
      <c r="L22" s="1" t="s">
        <v>66</v>
      </c>
      <c r="M22" s="1" t="s">
        <v>34</v>
      </c>
      <c r="N22" s="1" t="s">
        <v>67</v>
      </c>
      <c r="P22" s="5">
        <v>15187.5</v>
      </c>
      <c r="R22" s="1" t="s">
        <v>45</v>
      </c>
      <c r="S22" s="1" t="s">
        <v>45</v>
      </c>
      <c r="U22" s="1" t="s">
        <v>55</v>
      </c>
      <c r="V22" s="1">
        <v>0.0</v>
      </c>
      <c r="W22" s="1">
        <v>70.0</v>
      </c>
      <c r="X22" s="1">
        <v>70.0</v>
      </c>
      <c r="Y22" s="1" t="s">
        <v>50</v>
      </c>
      <c r="AB22" s="1">
        <v>0.0</v>
      </c>
      <c r="AC22" s="1">
        <v>0.0</v>
      </c>
      <c r="AD22" s="1">
        <v>0.0</v>
      </c>
      <c r="AE22" s="6">
        <v>0.375</v>
      </c>
      <c r="AF22" s="1" t="s">
        <v>39</v>
      </c>
    </row>
    <row r="23">
      <c r="B23" s="2">
        <v>46198.0</v>
      </c>
      <c r="C23" s="3">
        <v>0.3333333333333333</v>
      </c>
      <c r="D23" s="3">
        <v>0.3645833333333333</v>
      </c>
      <c r="E23" s="3">
        <v>0.3333333333333333</v>
      </c>
      <c r="F23" s="3">
        <v>0.3458333333333333</v>
      </c>
      <c r="G23" s="1">
        <v>2.29700458007E11</v>
      </c>
      <c r="H23" s="1" t="s">
        <v>102</v>
      </c>
      <c r="J23" s="1" t="s">
        <v>32</v>
      </c>
      <c r="K23" s="4">
        <f>+523316183312</f>
        <v>523316183312</v>
      </c>
      <c r="L23" s="1" t="s">
        <v>75</v>
      </c>
      <c r="M23" s="1" t="s">
        <v>42</v>
      </c>
      <c r="N23" s="1" t="s">
        <v>103</v>
      </c>
      <c r="P23" s="5">
        <v>2500.0</v>
      </c>
      <c r="R23" s="1" t="s">
        <v>53</v>
      </c>
      <c r="S23" s="1" t="s">
        <v>35</v>
      </c>
      <c r="U23" s="1" t="s">
        <v>36</v>
      </c>
      <c r="V23" s="1">
        <v>0.0</v>
      </c>
      <c r="W23" s="1">
        <v>18.0</v>
      </c>
      <c r="X23" s="1">
        <v>18.0</v>
      </c>
      <c r="Y23" s="1" t="s">
        <v>81</v>
      </c>
      <c r="AA23" s="1" t="s">
        <v>38</v>
      </c>
      <c r="AB23" s="1">
        <v>0.0</v>
      </c>
      <c r="AC23" s="1">
        <v>0.0</v>
      </c>
      <c r="AD23" s="1">
        <v>0.0</v>
      </c>
      <c r="AE23" s="6">
        <v>0.3333333333333333</v>
      </c>
      <c r="AF23" s="1" t="s">
        <v>39</v>
      </c>
    </row>
    <row r="24">
      <c r="B24" s="2">
        <v>46198.0</v>
      </c>
      <c r="C24" s="3">
        <v>0.4583333333333333</v>
      </c>
      <c r="D24" s="3">
        <v>0.5</v>
      </c>
      <c r="E24" s="3">
        <v>0.4583333333333333</v>
      </c>
      <c r="F24" s="3">
        <v>0.4708333333333333</v>
      </c>
      <c r="G24" s="1">
        <v>8.1299478844E10</v>
      </c>
      <c r="H24" s="1" t="s">
        <v>104</v>
      </c>
      <c r="J24" s="1" t="s">
        <v>32</v>
      </c>
      <c r="K24" s="4">
        <f>+5213317942474</f>
        <v>5213317942474</v>
      </c>
      <c r="L24" s="1" t="s">
        <v>105</v>
      </c>
      <c r="M24" s="1" t="s">
        <v>48</v>
      </c>
      <c r="N24" s="1" t="s">
        <v>106</v>
      </c>
      <c r="P24" s="5">
        <v>0.0</v>
      </c>
      <c r="Q24" s="1">
        <v>0.0</v>
      </c>
      <c r="R24" s="1" t="s">
        <v>70</v>
      </c>
      <c r="S24" s="1" t="s">
        <v>70</v>
      </c>
      <c r="U24" s="1" t="s">
        <v>36</v>
      </c>
      <c r="V24" s="1">
        <v>0.0</v>
      </c>
      <c r="W24" s="1">
        <v>18.0</v>
      </c>
      <c r="X24" s="1">
        <v>18.0</v>
      </c>
      <c r="Y24" s="1" t="s">
        <v>50</v>
      </c>
      <c r="AA24" s="1" t="s">
        <v>38</v>
      </c>
      <c r="AB24" s="1">
        <v>0.0</v>
      </c>
      <c r="AC24" s="1">
        <v>0.0</v>
      </c>
      <c r="AD24" s="1">
        <v>0.0</v>
      </c>
      <c r="AE24" s="6">
        <v>0.4583333333333333</v>
      </c>
      <c r="AF24" s="1" t="s">
        <v>39</v>
      </c>
    </row>
    <row r="25">
      <c r="B25" s="2">
        <v>46198.0</v>
      </c>
      <c r="C25" s="3">
        <v>0.4583333333333333</v>
      </c>
      <c r="D25" s="3">
        <v>0.5</v>
      </c>
      <c r="E25" s="3">
        <v>0.4583333333333333</v>
      </c>
      <c r="F25" s="3">
        <v>0.46319444444444446</v>
      </c>
      <c r="G25" s="1">
        <v>2.289750877E11</v>
      </c>
      <c r="H25" s="1" t="s">
        <v>107</v>
      </c>
      <c r="J25" s="1" t="s">
        <v>32</v>
      </c>
      <c r="K25" s="4">
        <f>+5213315348604</f>
        <v>5213315348604</v>
      </c>
      <c r="L25" s="1" t="s">
        <v>108</v>
      </c>
      <c r="M25" s="1" t="s">
        <v>48</v>
      </c>
      <c r="N25" s="1" t="s">
        <v>109</v>
      </c>
      <c r="P25" s="5">
        <v>-1750.0</v>
      </c>
      <c r="Q25" s="1">
        <v>0.0</v>
      </c>
      <c r="R25" s="1" t="s">
        <v>45</v>
      </c>
      <c r="S25" s="1" t="s">
        <v>45</v>
      </c>
      <c r="U25" s="1" t="s">
        <v>36</v>
      </c>
      <c r="V25" s="1">
        <v>0.0</v>
      </c>
      <c r="W25" s="1">
        <v>7.0</v>
      </c>
      <c r="X25" s="1">
        <v>7.0</v>
      </c>
      <c r="Y25" s="1" t="s">
        <v>50</v>
      </c>
      <c r="AA25" s="1" t="s">
        <v>38</v>
      </c>
      <c r="AB25" s="1">
        <v>0.0</v>
      </c>
      <c r="AC25" s="1">
        <v>0.0</v>
      </c>
      <c r="AD25" s="1">
        <v>0.0</v>
      </c>
      <c r="AE25" s="6">
        <v>0.4583333333333333</v>
      </c>
      <c r="AF25" s="1" t="s">
        <v>39</v>
      </c>
    </row>
    <row r="26">
      <c r="B26" s="2">
        <v>46198.0</v>
      </c>
      <c r="C26" s="3">
        <v>0.7083333333333334</v>
      </c>
      <c r="D26" s="3">
        <v>0.75</v>
      </c>
      <c r="E26" s="3">
        <v>0.7083333333333334</v>
      </c>
      <c r="F26" s="3">
        <v>0.7173611111111111</v>
      </c>
      <c r="G26" s="1">
        <v>2.28576962059E11</v>
      </c>
      <c r="H26" s="1" t="s">
        <v>110</v>
      </c>
      <c r="J26" s="1" t="s">
        <v>32</v>
      </c>
      <c r="K26" s="4">
        <f>+5213322035252</f>
        <v>5213322035252</v>
      </c>
      <c r="L26" s="1" t="s">
        <v>105</v>
      </c>
      <c r="M26" s="1" t="s">
        <v>48</v>
      </c>
      <c r="N26" s="1" t="s">
        <v>111</v>
      </c>
      <c r="P26" s="1">
        <v>0.0</v>
      </c>
      <c r="R26" s="1" t="s">
        <v>35</v>
      </c>
      <c r="S26" s="1" t="s">
        <v>35</v>
      </c>
      <c r="U26" s="1" t="s">
        <v>36</v>
      </c>
      <c r="V26" s="1">
        <v>0.0</v>
      </c>
      <c r="W26" s="1">
        <v>13.0</v>
      </c>
      <c r="X26" s="1">
        <v>13.0</v>
      </c>
      <c r="Y26" s="1" t="s">
        <v>50</v>
      </c>
      <c r="AA26" s="1" t="s">
        <v>38</v>
      </c>
      <c r="AB26" s="1">
        <v>0.0</v>
      </c>
      <c r="AC26" s="1">
        <v>0.0</v>
      </c>
      <c r="AD26" s="1">
        <v>0.0</v>
      </c>
      <c r="AE26" s="6">
        <v>0.7083333333333334</v>
      </c>
      <c r="AF26" s="1" t="s">
        <v>39</v>
      </c>
    </row>
    <row r="27">
      <c r="B27" s="2">
        <v>46197.0</v>
      </c>
      <c r="C27" s="3">
        <v>0.6458333333333334</v>
      </c>
      <c r="D27" s="3">
        <v>0.65625</v>
      </c>
      <c r="E27" s="3">
        <v>0.6458333333333334</v>
      </c>
      <c r="F27" s="3">
        <v>0.65</v>
      </c>
      <c r="G27" s="1">
        <v>2.15773545645E11</v>
      </c>
      <c r="H27" s="1" t="s">
        <v>112</v>
      </c>
      <c r="J27" s="1" t="s">
        <v>32</v>
      </c>
      <c r="K27" s="4">
        <f>+523318100705</f>
        <v>523318100705</v>
      </c>
      <c r="L27" s="1" t="s">
        <v>33</v>
      </c>
      <c r="M27" s="1" t="s">
        <v>34</v>
      </c>
      <c r="P27" s="5">
        <v>0.0</v>
      </c>
      <c r="Q27" s="1">
        <v>0.0</v>
      </c>
      <c r="R27" s="1" t="s">
        <v>35</v>
      </c>
      <c r="S27" s="1" t="s">
        <v>35</v>
      </c>
      <c r="U27" s="1" t="s">
        <v>55</v>
      </c>
      <c r="V27" s="1">
        <v>0.0</v>
      </c>
      <c r="W27" s="1">
        <v>6.0</v>
      </c>
      <c r="X27" s="1">
        <v>6.0</v>
      </c>
      <c r="Y27" s="1" t="s">
        <v>56</v>
      </c>
      <c r="AA27" s="1" t="s">
        <v>38</v>
      </c>
      <c r="AB27" s="1">
        <v>0.0</v>
      </c>
      <c r="AC27" s="1">
        <v>0.0</v>
      </c>
      <c r="AD27" s="1">
        <v>0.0</v>
      </c>
      <c r="AE27" s="6">
        <v>0.6458333333333334</v>
      </c>
      <c r="AF27" s="1" t="s">
        <v>39</v>
      </c>
    </row>
    <row r="28">
      <c r="B28" s="2">
        <v>46197.0</v>
      </c>
      <c r="C28" s="3">
        <v>0.625</v>
      </c>
      <c r="D28" s="3">
        <v>0.6354166666666666</v>
      </c>
      <c r="E28" s="3">
        <v>0.625</v>
      </c>
      <c r="F28" s="3">
        <v>0.60625</v>
      </c>
      <c r="G28" s="1">
        <v>2.29039186335E11</v>
      </c>
      <c r="H28" s="1" t="s">
        <v>113</v>
      </c>
      <c r="J28" s="1" t="s">
        <v>32</v>
      </c>
      <c r="K28" s="4">
        <f>+522411107211</f>
        <v>522411107211</v>
      </c>
      <c r="L28" s="1" t="s">
        <v>33</v>
      </c>
      <c r="M28" s="1" t="s">
        <v>34</v>
      </c>
      <c r="N28" s="1" t="s">
        <v>114</v>
      </c>
      <c r="P28" s="1">
        <v>0.0</v>
      </c>
      <c r="R28" s="1" t="s">
        <v>35</v>
      </c>
      <c r="S28" s="1" t="s">
        <v>35</v>
      </c>
      <c r="U28" s="1" t="s">
        <v>55</v>
      </c>
      <c r="V28" s="1">
        <v>0.0</v>
      </c>
      <c r="W28" s="1">
        <v>-27.0</v>
      </c>
      <c r="X28" s="1">
        <v>-27.0</v>
      </c>
      <c r="Y28" s="1" t="s">
        <v>37</v>
      </c>
      <c r="AA28" s="1" t="s">
        <v>38</v>
      </c>
      <c r="AB28" s="1">
        <v>0.0</v>
      </c>
      <c r="AC28" s="5">
        <v>0.0</v>
      </c>
      <c r="AD28" s="1">
        <v>0.0</v>
      </c>
      <c r="AE28" s="6">
        <v>0.625</v>
      </c>
      <c r="AF28" s="1" t="s">
        <v>39</v>
      </c>
    </row>
    <row r="29">
      <c r="B29" s="2">
        <v>46197.0</v>
      </c>
      <c r="C29" s="3">
        <v>0.375</v>
      </c>
      <c r="D29" s="3">
        <v>0.4166666666666667</v>
      </c>
      <c r="E29" s="3">
        <v>0.375</v>
      </c>
      <c r="F29" s="3">
        <v>0.41944444444444445</v>
      </c>
      <c r="G29" s="1">
        <v>2.30898141246E11</v>
      </c>
      <c r="H29" s="1" t="s">
        <v>115</v>
      </c>
      <c r="J29" s="1" t="s">
        <v>32</v>
      </c>
      <c r="K29" s="4">
        <f>+523331284361</f>
        <v>523331284361</v>
      </c>
      <c r="L29" s="1" t="s">
        <v>83</v>
      </c>
      <c r="M29" s="1" t="s">
        <v>48</v>
      </c>
      <c r="N29" s="1" t="s">
        <v>67</v>
      </c>
      <c r="P29" s="5">
        <v>0.0</v>
      </c>
      <c r="R29" s="1" t="s">
        <v>45</v>
      </c>
      <c r="S29" s="1" t="s">
        <v>45</v>
      </c>
      <c r="U29" s="1" t="s">
        <v>36</v>
      </c>
      <c r="V29" s="1">
        <v>21.0</v>
      </c>
      <c r="W29" s="1">
        <v>43.0</v>
      </c>
      <c r="X29" s="1">
        <v>64.0</v>
      </c>
      <c r="Y29" s="1" t="s">
        <v>50</v>
      </c>
      <c r="AA29" s="1" t="s">
        <v>38</v>
      </c>
      <c r="AB29" s="1">
        <v>0.0</v>
      </c>
      <c r="AC29" s="1">
        <v>0.0</v>
      </c>
      <c r="AD29" s="1">
        <v>0.0</v>
      </c>
      <c r="AE29" s="6">
        <v>0.38958333333333334</v>
      </c>
      <c r="AF29" s="1" t="s">
        <v>39</v>
      </c>
    </row>
    <row r="30">
      <c r="B30" s="2">
        <v>46197.0</v>
      </c>
      <c r="C30" s="3">
        <v>0.6666666666666666</v>
      </c>
      <c r="D30" s="3">
        <v>0.7083333333333334</v>
      </c>
      <c r="E30" s="3">
        <v>0.6666666666666666</v>
      </c>
      <c r="F30" s="3">
        <v>0.7041666666666667</v>
      </c>
      <c r="G30" s="1">
        <v>2.01761998188E11</v>
      </c>
      <c r="H30" s="1" t="s">
        <v>116</v>
      </c>
      <c r="J30" s="1" t="s">
        <v>32</v>
      </c>
      <c r="K30" s="4">
        <f>+524497699409</f>
        <v>524497699409</v>
      </c>
      <c r="L30" s="1" t="s">
        <v>117</v>
      </c>
      <c r="M30" s="1" t="s">
        <v>48</v>
      </c>
      <c r="N30" s="1" t="s">
        <v>118</v>
      </c>
      <c r="P30" s="5">
        <v>0.0</v>
      </c>
      <c r="R30" s="1" t="s">
        <v>45</v>
      </c>
      <c r="S30" s="1" t="s">
        <v>45</v>
      </c>
      <c r="U30" s="1" t="s">
        <v>55</v>
      </c>
      <c r="V30" s="1">
        <v>0.0</v>
      </c>
      <c r="W30" s="1">
        <v>54.0</v>
      </c>
      <c r="X30" s="1">
        <v>54.0</v>
      </c>
      <c r="Y30" s="1" t="s">
        <v>50</v>
      </c>
      <c r="AB30" s="1">
        <v>0.0</v>
      </c>
      <c r="AC30" s="1">
        <v>0.0</v>
      </c>
      <c r="AD30" s="1">
        <v>0.0</v>
      </c>
      <c r="AE30" s="6">
        <v>0.6666666666666666</v>
      </c>
      <c r="AF30" s="1" t="s">
        <v>39</v>
      </c>
    </row>
    <row r="31">
      <c r="B31" s="2">
        <v>46197.0</v>
      </c>
      <c r="C31" s="3">
        <v>0.5833333333333334</v>
      </c>
      <c r="D31" s="3">
        <v>0.59375</v>
      </c>
      <c r="E31" s="3">
        <v>0.5833333333333334</v>
      </c>
      <c r="F31" s="3">
        <v>0.5659722222222222</v>
      </c>
      <c r="H31" s="1" t="s">
        <v>65</v>
      </c>
      <c r="J31" s="1" t="s">
        <v>32</v>
      </c>
      <c r="K31" s="4">
        <f>+52-34-81-76059</f>
        <v>-76122</v>
      </c>
      <c r="L31" s="1" t="s">
        <v>97</v>
      </c>
      <c r="M31" s="1" t="s">
        <v>42</v>
      </c>
      <c r="N31" s="1" t="s">
        <v>119</v>
      </c>
      <c r="P31" s="5">
        <v>28000.0</v>
      </c>
      <c r="Q31" s="1">
        <v>0.0</v>
      </c>
      <c r="R31" s="1" t="s">
        <v>44</v>
      </c>
      <c r="S31" s="1" t="s">
        <v>45</v>
      </c>
      <c r="U31" s="1" t="s">
        <v>55</v>
      </c>
      <c r="V31" s="1">
        <v>0.0</v>
      </c>
      <c r="W31" s="1">
        <v>-25.0</v>
      </c>
      <c r="X31" s="1">
        <v>-25.0</v>
      </c>
      <c r="Y31" s="1" t="s">
        <v>99</v>
      </c>
      <c r="AA31" s="1" t="s">
        <v>38</v>
      </c>
      <c r="AB31" s="1">
        <v>0.0</v>
      </c>
      <c r="AC31" s="1">
        <v>0.0</v>
      </c>
      <c r="AD31" s="1">
        <v>0.0</v>
      </c>
      <c r="AE31" s="6">
        <v>0.5833333333333334</v>
      </c>
      <c r="AF31" s="1" t="s">
        <v>39</v>
      </c>
    </row>
    <row r="32">
      <c r="B32" s="2">
        <v>46197.0</v>
      </c>
      <c r="C32" s="3">
        <v>0.375</v>
      </c>
      <c r="D32" s="3">
        <v>0.3854166666666667</v>
      </c>
      <c r="E32" s="3">
        <v>0.375</v>
      </c>
      <c r="F32" s="3">
        <v>0.39166666666666666</v>
      </c>
      <c r="G32" s="1">
        <v>2.20498777401E11</v>
      </c>
      <c r="H32" s="1" t="s">
        <v>61</v>
      </c>
      <c r="J32" s="1" t="s">
        <v>32</v>
      </c>
      <c r="K32" s="4" t="str">
        <f>+1 469 682 8679</f>
        <v>#ERROR!</v>
      </c>
      <c r="L32" s="1" t="s">
        <v>97</v>
      </c>
      <c r="M32" s="1" t="s">
        <v>42</v>
      </c>
      <c r="N32" s="1" t="s">
        <v>98</v>
      </c>
      <c r="P32" s="5">
        <v>28050.0</v>
      </c>
      <c r="R32" s="1" t="s">
        <v>44</v>
      </c>
      <c r="S32" s="1" t="s">
        <v>62</v>
      </c>
      <c r="U32" s="1" t="s">
        <v>55</v>
      </c>
      <c r="V32" s="1">
        <v>0.0</v>
      </c>
      <c r="W32" s="1">
        <v>24.0</v>
      </c>
      <c r="X32" s="1">
        <v>24.0</v>
      </c>
      <c r="Y32" s="1" t="s">
        <v>99</v>
      </c>
      <c r="AA32" s="1" t="s">
        <v>64</v>
      </c>
      <c r="AB32" s="1">
        <v>0.0</v>
      </c>
      <c r="AC32" s="1">
        <v>0.0</v>
      </c>
      <c r="AD32" s="1">
        <v>0.0</v>
      </c>
      <c r="AE32" s="6">
        <v>0.375</v>
      </c>
      <c r="AF32" s="1" t="s">
        <v>39</v>
      </c>
    </row>
    <row r="33">
      <c r="B33" s="2">
        <v>46197.0</v>
      </c>
      <c r="C33" s="3">
        <v>0.5</v>
      </c>
      <c r="D33" s="3">
        <v>0.5208333333333334</v>
      </c>
      <c r="E33" s="3">
        <v>0.5</v>
      </c>
      <c r="F33" s="3">
        <v>0.50625</v>
      </c>
      <c r="G33" s="1">
        <v>2.1112313358E11</v>
      </c>
      <c r="H33" s="1" t="s">
        <v>120</v>
      </c>
      <c r="J33" s="1" t="s">
        <v>32</v>
      </c>
      <c r="K33" s="4">
        <f>+523312987115</f>
        <v>523312987115</v>
      </c>
      <c r="L33" s="1" t="s">
        <v>121</v>
      </c>
      <c r="M33" s="1" t="s">
        <v>59</v>
      </c>
      <c r="N33" s="1" t="s">
        <v>67</v>
      </c>
      <c r="P33" s="5">
        <v>0.0</v>
      </c>
      <c r="Q33" s="1">
        <v>0.0</v>
      </c>
      <c r="R33" s="1" t="s">
        <v>122</v>
      </c>
      <c r="S33" s="1" t="s">
        <v>122</v>
      </c>
      <c r="U33" s="1" t="s">
        <v>36</v>
      </c>
      <c r="V33" s="1">
        <v>0.0</v>
      </c>
      <c r="W33" s="1">
        <v>9.0</v>
      </c>
      <c r="X33" s="1">
        <v>9.0</v>
      </c>
      <c r="Y33" s="1" t="s">
        <v>50</v>
      </c>
      <c r="AA33" s="1" t="s">
        <v>38</v>
      </c>
      <c r="AB33" s="1">
        <v>0.0</v>
      </c>
      <c r="AC33" s="1">
        <v>0.0</v>
      </c>
      <c r="AD33" s="1">
        <v>0.0</v>
      </c>
      <c r="AE33" s="6">
        <v>0.5</v>
      </c>
      <c r="AF33" s="1" t="s">
        <v>39</v>
      </c>
    </row>
    <row r="34">
      <c r="B34" s="2">
        <v>46197.0</v>
      </c>
      <c r="C34" s="3">
        <v>0.375</v>
      </c>
      <c r="D34" s="3">
        <v>0.3958333333333333</v>
      </c>
      <c r="E34" s="3">
        <v>0.375</v>
      </c>
      <c r="F34" s="3">
        <v>0.39166666666666666</v>
      </c>
      <c r="G34" s="1">
        <v>2.20498777401E11</v>
      </c>
      <c r="H34" s="1" t="s">
        <v>61</v>
      </c>
      <c r="J34" s="1" t="s">
        <v>32</v>
      </c>
      <c r="K34" s="4" t="str">
        <f>+1 469 682 8679</f>
        <v>#ERROR!</v>
      </c>
      <c r="L34" s="1" t="s">
        <v>66</v>
      </c>
      <c r="M34" s="1" t="s">
        <v>34</v>
      </c>
      <c r="N34" s="1" t="s">
        <v>68</v>
      </c>
      <c r="P34" s="5">
        <v>28050.0</v>
      </c>
      <c r="R34" s="1" t="s">
        <v>62</v>
      </c>
      <c r="S34" s="1" t="s">
        <v>62</v>
      </c>
      <c r="U34" s="1" t="s">
        <v>55</v>
      </c>
      <c r="V34" s="1">
        <v>24.0</v>
      </c>
      <c r="W34" s="1">
        <v>0.0</v>
      </c>
      <c r="X34" s="1">
        <v>24.0</v>
      </c>
      <c r="Y34" s="1" t="s">
        <v>50</v>
      </c>
      <c r="AA34" s="1" t="s">
        <v>64</v>
      </c>
      <c r="AB34" s="1">
        <v>0.0</v>
      </c>
      <c r="AC34" s="1">
        <v>0.0</v>
      </c>
      <c r="AD34" s="1">
        <v>0.0</v>
      </c>
      <c r="AE34" s="6">
        <v>0.39166666666666666</v>
      </c>
      <c r="AF34" s="1" t="s">
        <v>39</v>
      </c>
    </row>
    <row r="35">
      <c r="B35" s="2">
        <v>46197.0</v>
      </c>
      <c r="C35" s="3">
        <v>0.4166666666666667</v>
      </c>
      <c r="D35" s="3">
        <v>0.4375</v>
      </c>
      <c r="E35" s="3">
        <v>0.4166666666666667</v>
      </c>
      <c r="F35" s="3">
        <v>0.42291666666666666</v>
      </c>
      <c r="H35" s="1" t="s">
        <v>123</v>
      </c>
      <c r="J35" s="1" t="s">
        <v>32</v>
      </c>
      <c r="K35" s="4" t="str">
        <f>+52 373 101 2703</f>
        <v>#ERROR!</v>
      </c>
      <c r="L35" s="1" t="s">
        <v>90</v>
      </c>
      <c r="M35" s="1" t="s">
        <v>87</v>
      </c>
      <c r="N35" s="1" t="s">
        <v>124</v>
      </c>
      <c r="P35" s="1">
        <v>0.0</v>
      </c>
      <c r="R35" s="1" t="s">
        <v>53</v>
      </c>
      <c r="S35" s="1" t="s">
        <v>125</v>
      </c>
      <c r="U35" s="1" t="s">
        <v>55</v>
      </c>
      <c r="V35" s="1">
        <v>0.0</v>
      </c>
      <c r="W35" s="1">
        <v>9.0</v>
      </c>
      <c r="X35" s="1">
        <v>9.0</v>
      </c>
      <c r="Y35" s="1" t="s">
        <v>78</v>
      </c>
      <c r="AA35" s="1" t="s">
        <v>38</v>
      </c>
      <c r="AB35" s="1">
        <v>0.0</v>
      </c>
      <c r="AC35" s="1">
        <v>0.0</v>
      </c>
      <c r="AD35" s="1">
        <v>0.0</v>
      </c>
      <c r="AE35" s="6">
        <v>0.4166666666666667</v>
      </c>
      <c r="AF35" s="1" t="s">
        <v>39</v>
      </c>
    </row>
    <row r="36">
      <c r="B36" s="2">
        <v>46197.0</v>
      </c>
      <c r="C36" s="3">
        <v>0.5833333333333334</v>
      </c>
      <c r="D36" s="3">
        <v>0.6041666666666666</v>
      </c>
      <c r="E36" s="3">
        <v>0.5833333333333334</v>
      </c>
      <c r="F36" s="3">
        <v>0.5895833333333333</v>
      </c>
      <c r="H36" s="1" t="s">
        <v>65</v>
      </c>
      <c r="J36" s="1" t="s">
        <v>32</v>
      </c>
      <c r="K36" s="4">
        <f>+52-34-81-76059</f>
        <v>-76122</v>
      </c>
      <c r="L36" s="1" t="s">
        <v>101</v>
      </c>
      <c r="M36" s="1" t="s">
        <v>59</v>
      </c>
      <c r="N36" s="1" t="s">
        <v>67</v>
      </c>
      <c r="P36" s="5">
        <v>28000.0</v>
      </c>
      <c r="Q36" s="1">
        <v>0.0</v>
      </c>
      <c r="R36" s="1" t="s">
        <v>45</v>
      </c>
      <c r="S36" s="1" t="s">
        <v>45</v>
      </c>
      <c r="U36" s="1" t="s">
        <v>55</v>
      </c>
      <c r="V36" s="1">
        <v>0.0</v>
      </c>
      <c r="W36" s="1">
        <v>9.0</v>
      </c>
      <c r="X36" s="1">
        <v>9.0</v>
      </c>
      <c r="Y36" s="1" t="s">
        <v>50</v>
      </c>
      <c r="AA36" s="1" t="s">
        <v>38</v>
      </c>
      <c r="AB36" s="1">
        <v>0.0</v>
      </c>
      <c r="AC36" s="1">
        <v>0.0</v>
      </c>
      <c r="AD36" s="1">
        <v>0.0</v>
      </c>
      <c r="AE36" s="6">
        <v>0.5833333333333334</v>
      </c>
      <c r="AF36" s="1" t="s">
        <v>39</v>
      </c>
    </row>
    <row r="37">
      <c r="B37" s="2">
        <v>46197.0</v>
      </c>
      <c r="C37" s="3">
        <v>0.4166666666666667</v>
      </c>
      <c r="D37" s="3">
        <v>0.4375</v>
      </c>
      <c r="E37" s="3">
        <v>0.4166666666666667</v>
      </c>
      <c r="F37" s="3">
        <v>0.4444444444444444</v>
      </c>
      <c r="G37" s="1">
        <v>1.82739361034E11</v>
      </c>
      <c r="H37" s="1" t="s">
        <v>126</v>
      </c>
      <c r="J37" s="1" t="s">
        <v>32</v>
      </c>
      <c r="K37" s="4">
        <f>+523325617167</f>
        <v>523325617167</v>
      </c>
      <c r="L37" s="1" t="s">
        <v>101</v>
      </c>
      <c r="M37" s="1" t="s">
        <v>59</v>
      </c>
      <c r="N37" s="1" t="s">
        <v>67</v>
      </c>
      <c r="P37" s="5">
        <v>34500.0</v>
      </c>
      <c r="Q37" s="1">
        <v>0.0</v>
      </c>
      <c r="R37" s="1" t="s">
        <v>45</v>
      </c>
      <c r="S37" s="1" t="s">
        <v>45</v>
      </c>
      <c r="U37" s="1" t="s">
        <v>55</v>
      </c>
      <c r="V37" s="1">
        <v>0.0</v>
      </c>
      <c r="W37" s="1">
        <v>40.0</v>
      </c>
      <c r="X37" s="1">
        <v>40.0</v>
      </c>
      <c r="Y37" s="1" t="s">
        <v>50</v>
      </c>
      <c r="AA37" s="1" t="s">
        <v>38</v>
      </c>
      <c r="AB37" s="1">
        <v>0.0</v>
      </c>
      <c r="AC37" s="5">
        <v>0.0</v>
      </c>
      <c r="AD37" s="1">
        <v>0.0</v>
      </c>
      <c r="AE37" s="6">
        <v>0.4166666666666667</v>
      </c>
      <c r="AF37" s="1" t="s">
        <v>39</v>
      </c>
    </row>
    <row r="38">
      <c r="B38" s="2">
        <v>46197.0</v>
      </c>
      <c r="C38" s="3">
        <v>0.375</v>
      </c>
      <c r="D38" s="3">
        <v>0.40625</v>
      </c>
      <c r="E38" s="3">
        <v>0.375</v>
      </c>
      <c r="F38" s="3">
        <v>0.3763888888888889</v>
      </c>
      <c r="G38" s="1">
        <v>2.289750877E11</v>
      </c>
      <c r="H38" s="1" t="s">
        <v>107</v>
      </c>
      <c r="J38" s="1" t="s">
        <v>32</v>
      </c>
      <c r="K38" s="4">
        <f>+5213315348604</f>
        <v>5213315348604</v>
      </c>
      <c r="L38" s="1" t="s">
        <v>75</v>
      </c>
      <c r="M38" s="1" t="s">
        <v>42</v>
      </c>
      <c r="N38" s="1" t="s">
        <v>127</v>
      </c>
      <c r="P38" s="5">
        <v>-1750.0</v>
      </c>
      <c r="Q38" s="1">
        <v>0.0</v>
      </c>
      <c r="R38" s="1" t="s">
        <v>53</v>
      </c>
      <c r="S38" s="1" t="s">
        <v>45</v>
      </c>
      <c r="U38" s="1" t="s">
        <v>55</v>
      </c>
      <c r="V38" s="1">
        <v>0.0</v>
      </c>
      <c r="W38" s="1">
        <v>2.0</v>
      </c>
      <c r="X38" s="1">
        <v>2.0</v>
      </c>
      <c r="Y38" s="1" t="s">
        <v>46</v>
      </c>
      <c r="AA38" s="1" t="s">
        <v>38</v>
      </c>
      <c r="AB38" s="1">
        <v>0.0</v>
      </c>
      <c r="AC38" s="1">
        <v>0.0</v>
      </c>
      <c r="AD38" s="1">
        <v>0.0</v>
      </c>
      <c r="AE38" s="6">
        <v>0.375</v>
      </c>
      <c r="AF38" s="1" t="s">
        <v>39</v>
      </c>
    </row>
    <row r="39">
      <c r="B39" s="2">
        <v>46196.0</v>
      </c>
      <c r="C39" s="3">
        <v>0.7152777777777778</v>
      </c>
      <c r="D39" s="3">
        <v>0.7256944444444444</v>
      </c>
      <c r="E39" s="3">
        <v>0.7152777777777778</v>
      </c>
      <c r="F39" s="3">
        <v>0.6333333333333333</v>
      </c>
      <c r="G39" s="1">
        <v>2.26405685936E11</v>
      </c>
      <c r="H39" s="1" t="s">
        <v>128</v>
      </c>
      <c r="J39" s="1" t="s">
        <v>32</v>
      </c>
      <c r="K39" s="4">
        <f>+524492253690</f>
        <v>524492253690</v>
      </c>
      <c r="L39" s="1" t="s">
        <v>33</v>
      </c>
      <c r="M39" s="1" t="s">
        <v>34</v>
      </c>
      <c r="N39" s="1" t="s">
        <v>129</v>
      </c>
      <c r="P39" s="5">
        <v>0.0</v>
      </c>
      <c r="R39" s="1" t="s">
        <v>45</v>
      </c>
      <c r="S39" s="1" t="s">
        <v>45</v>
      </c>
      <c r="U39" s="1" t="s">
        <v>36</v>
      </c>
      <c r="V39" s="1">
        <v>0.0</v>
      </c>
      <c r="W39" s="1">
        <v>-118.0</v>
      </c>
      <c r="X39" s="1">
        <v>-118.0</v>
      </c>
      <c r="Y39" s="1" t="s">
        <v>56</v>
      </c>
      <c r="AB39" s="1">
        <v>0.0</v>
      </c>
      <c r="AC39" s="1">
        <v>0.0</v>
      </c>
      <c r="AD39" s="1">
        <v>0.0</v>
      </c>
      <c r="AE39" s="6">
        <v>0.7152777777777778</v>
      </c>
      <c r="AF39" s="1" t="s">
        <v>39</v>
      </c>
    </row>
    <row r="40">
      <c r="B40" s="2">
        <v>46196.0</v>
      </c>
      <c r="C40" s="3">
        <v>0.3541666666666667</v>
      </c>
      <c r="D40" s="3">
        <v>0.375</v>
      </c>
      <c r="E40" s="3">
        <v>0.3541666666666667</v>
      </c>
      <c r="F40" s="3">
        <v>0.3729166666666667</v>
      </c>
      <c r="H40" s="1" t="s">
        <v>130</v>
      </c>
      <c r="J40" s="1" t="s">
        <v>32</v>
      </c>
      <c r="K40" s="4">
        <f>+523335789293</f>
        <v>523335789293</v>
      </c>
      <c r="L40" s="1" t="s">
        <v>131</v>
      </c>
      <c r="M40" s="1" t="s">
        <v>34</v>
      </c>
      <c r="P40" s="5">
        <v>0.0</v>
      </c>
      <c r="Q40" s="1">
        <v>0.0</v>
      </c>
      <c r="R40" s="1" t="s">
        <v>45</v>
      </c>
      <c r="S40" s="1" t="s">
        <v>45</v>
      </c>
      <c r="U40" s="1" t="s">
        <v>55</v>
      </c>
      <c r="V40" s="1">
        <v>0.0</v>
      </c>
      <c r="W40" s="1">
        <v>27.0</v>
      </c>
      <c r="X40" s="1">
        <v>27.0</v>
      </c>
      <c r="Y40" s="1" t="s">
        <v>56</v>
      </c>
      <c r="AA40" s="1" t="s">
        <v>38</v>
      </c>
      <c r="AB40" s="1">
        <v>0.0</v>
      </c>
      <c r="AC40" s="1">
        <v>0.0</v>
      </c>
      <c r="AD40" s="1">
        <v>0.0</v>
      </c>
      <c r="AE40" s="6">
        <v>0.3541666666666667</v>
      </c>
      <c r="AF40" s="1" t="s">
        <v>39</v>
      </c>
    </row>
    <row r="41">
      <c r="B41" s="2">
        <v>46196.0</v>
      </c>
      <c r="C41" s="3">
        <v>0.375</v>
      </c>
      <c r="D41" s="3">
        <v>0.3958333333333333</v>
      </c>
      <c r="E41" s="3">
        <v>0.375</v>
      </c>
      <c r="F41" s="3">
        <v>0.37777777777777777</v>
      </c>
      <c r="H41" s="1" t="s">
        <v>132</v>
      </c>
      <c r="J41" s="1" t="s">
        <v>32</v>
      </c>
      <c r="K41" s="4" t="str">
        <f>+52 33 3506 4017</f>
        <v>#ERROR!</v>
      </c>
      <c r="L41" s="1" t="s">
        <v>90</v>
      </c>
      <c r="M41" s="1" t="s">
        <v>87</v>
      </c>
      <c r="N41" s="1" t="s">
        <v>133</v>
      </c>
      <c r="P41" s="5">
        <v>-35000.0</v>
      </c>
      <c r="Q41" s="1">
        <v>0.0</v>
      </c>
      <c r="R41" s="1" t="s">
        <v>53</v>
      </c>
      <c r="S41" s="1" t="s">
        <v>134</v>
      </c>
      <c r="U41" s="1" t="s">
        <v>55</v>
      </c>
      <c r="V41" s="1">
        <v>0.0</v>
      </c>
      <c r="W41" s="1">
        <v>4.0</v>
      </c>
      <c r="X41" s="1">
        <v>4.0</v>
      </c>
      <c r="Y41" s="1" t="s">
        <v>78</v>
      </c>
      <c r="AA41" s="1" t="s">
        <v>38</v>
      </c>
      <c r="AB41" s="1">
        <v>0.0</v>
      </c>
      <c r="AC41" s="1">
        <v>0.0</v>
      </c>
      <c r="AD41" s="1">
        <v>0.0</v>
      </c>
      <c r="AE41" s="6">
        <v>0.375</v>
      </c>
      <c r="AF41" s="1" t="s">
        <v>39</v>
      </c>
    </row>
    <row r="42">
      <c r="B42" s="2">
        <v>46196.0</v>
      </c>
      <c r="C42" s="3">
        <v>0.5625</v>
      </c>
      <c r="D42" s="3">
        <v>0.5833333333333334</v>
      </c>
      <c r="E42" s="3">
        <v>0.5625</v>
      </c>
      <c r="F42" s="3">
        <v>0.5784722222222223</v>
      </c>
      <c r="H42" s="1" t="s">
        <v>135</v>
      </c>
      <c r="J42" s="1" t="s">
        <v>32</v>
      </c>
      <c r="K42" s="1" t="s">
        <v>136</v>
      </c>
      <c r="L42" s="1" t="s">
        <v>86</v>
      </c>
      <c r="M42" s="1" t="s">
        <v>87</v>
      </c>
      <c r="N42" s="1" t="s">
        <v>137</v>
      </c>
      <c r="P42" s="5">
        <v>0.0</v>
      </c>
      <c r="R42" s="1" t="s">
        <v>53</v>
      </c>
      <c r="S42" s="1" t="s">
        <v>125</v>
      </c>
      <c r="U42" s="1" t="s">
        <v>55</v>
      </c>
      <c r="V42" s="1">
        <v>0.0</v>
      </c>
      <c r="W42" s="1">
        <v>23.0</v>
      </c>
      <c r="X42" s="1">
        <v>23.0</v>
      </c>
      <c r="Y42" s="1" t="s">
        <v>78</v>
      </c>
      <c r="AA42" s="1" t="s">
        <v>38</v>
      </c>
      <c r="AB42" s="1">
        <v>0.0</v>
      </c>
      <c r="AC42" s="1">
        <v>0.0</v>
      </c>
      <c r="AD42" s="1">
        <v>0.0</v>
      </c>
      <c r="AE42" s="6">
        <v>0.5625</v>
      </c>
      <c r="AF42" s="1" t="s">
        <v>39</v>
      </c>
    </row>
    <row r="43">
      <c r="B43" s="2">
        <v>46196.0</v>
      </c>
      <c r="C43" s="3">
        <v>0.6111111111111112</v>
      </c>
      <c r="D43" s="3">
        <v>0.6215277777777778</v>
      </c>
      <c r="E43" s="3">
        <v>0.6111111111111112</v>
      </c>
      <c r="F43" s="3">
        <v>0.46805555555555556</v>
      </c>
      <c r="G43" s="1">
        <v>2.28878500988E11</v>
      </c>
      <c r="H43" s="1" t="s">
        <v>138</v>
      </c>
      <c r="J43" s="1" t="s">
        <v>32</v>
      </c>
      <c r="K43" s="4">
        <f>+5213332360111</f>
        <v>5213332360111</v>
      </c>
      <c r="L43" s="1" t="s">
        <v>33</v>
      </c>
      <c r="M43" s="1" t="s">
        <v>34</v>
      </c>
      <c r="N43" s="1" t="s">
        <v>139</v>
      </c>
      <c r="P43" s="5">
        <v>0.0</v>
      </c>
      <c r="Q43" s="1">
        <v>0.0</v>
      </c>
      <c r="R43" s="1" t="s">
        <v>62</v>
      </c>
      <c r="S43" s="1" t="s">
        <v>70</v>
      </c>
      <c r="U43" s="1" t="s">
        <v>55</v>
      </c>
      <c r="V43" s="1">
        <v>0.0</v>
      </c>
      <c r="W43" s="1">
        <v>-206.0</v>
      </c>
      <c r="X43" s="1">
        <v>-206.0</v>
      </c>
      <c r="Y43" s="1" t="s">
        <v>56</v>
      </c>
      <c r="AA43" s="1" t="s">
        <v>38</v>
      </c>
      <c r="AB43" s="1">
        <v>0.0</v>
      </c>
      <c r="AC43" s="1">
        <v>0.0</v>
      </c>
      <c r="AD43" s="1">
        <v>0.0</v>
      </c>
      <c r="AE43" s="6">
        <v>0.6111111111111112</v>
      </c>
      <c r="AF43" s="1" t="s">
        <v>39</v>
      </c>
    </row>
    <row r="44">
      <c r="B44" s="2">
        <v>46196.0</v>
      </c>
      <c r="C44" s="3">
        <v>0.5902777777777778</v>
      </c>
      <c r="D44" s="3">
        <v>0.6006944444444444</v>
      </c>
      <c r="E44" s="3">
        <v>0.5902777777777778</v>
      </c>
      <c r="F44" s="3">
        <v>0.4673611111111111</v>
      </c>
      <c r="G44" s="1">
        <v>2.28954680637E11</v>
      </c>
      <c r="H44" s="1" t="s">
        <v>140</v>
      </c>
      <c r="J44" s="1" t="s">
        <v>32</v>
      </c>
      <c r="K44" s="4">
        <f>+5213271027642</f>
        <v>5213271027642</v>
      </c>
      <c r="L44" s="1" t="s">
        <v>33</v>
      </c>
      <c r="M44" s="1" t="s">
        <v>34</v>
      </c>
      <c r="N44" s="1" t="s">
        <v>139</v>
      </c>
      <c r="P44" s="1">
        <v>0.0</v>
      </c>
      <c r="Q44" s="1">
        <v>0.0</v>
      </c>
      <c r="R44" s="1" t="s">
        <v>62</v>
      </c>
      <c r="S44" s="1" t="s">
        <v>62</v>
      </c>
      <c r="U44" s="1" t="s">
        <v>55</v>
      </c>
      <c r="V44" s="1">
        <v>0.0</v>
      </c>
      <c r="W44" s="1">
        <v>-177.0</v>
      </c>
      <c r="X44" s="1">
        <v>-177.0</v>
      </c>
      <c r="Y44" s="1" t="s">
        <v>56</v>
      </c>
      <c r="AA44" s="1" t="s">
        <v>38</v>
      </c>
      <c r="AB44" s="1">
        <v>0.0</v>
      </c>
      <c r="AC44" s="1">
        <v>0.0</v>
      </c>
      <c r="AD44" s="1">
        <v>0.0</v>
      </c>
      <c r="AE44" s="6">
        <v>0.5902777777777778</v>
      </c>
      <c r="AF44" s="1" t="s">
        <v>39</v>
      </c>
    </row>
    <row r="45">
      <c r="B45" s="2">
        <v>46196.0</v>
      </c>
      <c r="C45" s="3">
        <v>0.4583333333333333</v>
      </c>
      <c r="D45" s="3">
        <v>0.4895833333333333</v>
      </c>
      <c r="E45" s="3">
        <v>0.4583333333333333</v>
      </c>
      <c r="F45" s="3">
        <v>0.5451388888888888</v>
      </c>
      <c r="G45" s="1">
        <v>2.29465378661E11</v>
      </c>
      <c r="H45" s="1" t="s">
        <v>141</v>
      </c>
      <c r="J45" s="1" t="s">
        <v>32</v>
      </c>
      <c r="K45" s="4">
        <f>+523757605941</f>
        <v>523757605941</v>
      </c>
      <c r="L45" s="1" t="s">
        <v>75</v>
      </c>
      <c r="M45" s="1" t="s">
        <v>42</v>
      </c>
      <c r="N45" s="1" t="s">
        <v>142</v>
      </c>
      <c r="P45" s="5">
        <v>0.0</v>
      </c>
      <c r="R45" s="1" t="s">
        <v>53</v>
      </c>
      <c r="S45" s="1" t="s">
        <v>53</v>
      </c>
      <c r="U45" s="1" t="s">
        <v>36</v>
      </c>
      <c r="V45" s="1">
        <v>0.0</v>
      </c>
      <c r="W45" s="1">
        <v>125.0</v>
      </c>
      <c r="X45" s="1">
        <v>125.0</v>
      </c>
      <c r="Y45" s="1" t="s">
        <v>50</v>
      </c>
      <c r="AA45" s="1" t="s">
        <v>38</v>
      </c>
      <c r="AB45" s="1">
        <v>0.0</v>
      </c>
      <c r="AC45" s="1">
        <v>0.0</v>
      </c>
      <c r="AD45" s="1">
        <v>0.0</v>
      </c>
      <c r="AE45" s="6">
        <v>0.4583333333333333</v>
      </c>
      <c r="AF45" s="1" t="s">
        <v>39</v>
      </c>
    </row>
    <row r="46">
      <c r="B46" s="2">
        <v>46196.0</v>
      </c>
      <c r="C46" s="3">
        <v>0.5555555555555556</v>
      </c>
      <c r="D46" s="3">
        <v>0.5659722222222222</v>
      </c>
      <c r="E46" s="3">
        <v>0.5555555555555556</v>
      </c>
      <c r="F46" s="3">
        <v>0.4673611111111111</v>
      </c>
      <c r="G46" s="1">
        <v>2.23485564313E11</v>
      </c>
      <c r="H46" s="1" t="s">
        <v>143</v>
      </c>
      <c r="J46" s="1" t="s">
        <v>32</v>
      </c>
      <c r="K46" s="4">
        <f>+523335035838</f>
        <v>523335035838</v>
      </c>
      <c r="L46" s="1" t="s">
        <v>33</v>
      </c>
      <c r="M46" s="1" t="s">
        <v>34</v>
      </c>
      <c r="P46" s="1">
        <v>0.0</v>
      </c>
      <c r="R46" s="1" t="s">
        <v>35</v>
      </c>
      <c r="S46" s="1" t="s">
        <v>35</v>
      </c>
      <c r="U46" s="1" t="s">
        <v>55</v>
      </c>
      <c r="V46" s="1">
        <v>0.0</v>
      </c>
      <c r="W46" s="1">
        <v>-127.0</v>
      </c>
      <c r="X46" s="1">
        <v>-127.0</v>
      </c>
      <c r="Y46" s="1" t="s">
        <v>56</v>
      </c>
      <c r="AA46" s="1" t="s">
        <v>38</v>
      </c>
      <c r="AB46" s="1">
        <v>0.0</v>
      </c>
      <c r="AC46" s="5">
        <v>0.0</v>
      </c>
      <c r="AD46" s="1">
        <v>0.0</v>
      </c>
      <c r="AE46" s="6">
        <v>0.5555555555555556</v>
      </c>
      <c r="AF46" s="1" t="s">
        <v>39</v>
      </c>
    </row>
    <row r="47">
      <c r="B47" s="2">
        <v>46196.0</v>
      </c>
      <c r="C47" s="3">
        <v>0.75</v>
      </c>
      <c r="D47" s="3">
        <v>0.7916666666666666</v>
      </c>
      <c r="E47" s="3">
        <v>0.75</v>
      </c>
      <c r="F47" s="3">
        <v>0.31180555555555556</v>
      </c>
      <c r="G47" s="1">
        <v>2.28365188499E11</v>
      </c>
      <c r="H47" s="1" t="s">
        <v>144</v>
      </c>
      <c r="J47" s="1" t="s">
        <v>32</v>
      </c>
      <c r="K47" s="4">
        <f>+523313456736</f>
        <v>523313456736</v>
      </c>
      <c r="L47" s="1" t="s">
        <v>105</v>
      </c>
      <c r="M47" s="1" t="s">
        <v>48</v>
      </c>
      <c r="N47" s="1" t="s">
        <v>145</v>
      </c>
      <c r="P47" s="5">
        <v>0.0</v>
      </c>
      <c r="R47" s="1" t="s">
        <v>70</v>
      </c>
      <c r="S47" s="1" t="s">
        <v>70</v>
      </c>
      <c r="U47" s="1" t="s">
        <v>36</v>
      </c>
      <c r="V47" s="1">
        <v>0.0</v>
      </c>
      <c r="W47" s="1">
        <v>-631.0</v>
      </c>
      <c r="X47" s="1">
        <v>-631.0</v>
      </c>
      <c r="Y47" s="1" t="s">
        <v>50</v>
      </c>
      <c r="AA47" s="1" t="s">
        <v>38</v>
      </c>
      <c r="AB47" s="1">
        <v>0.0</v>
      </c>
      <c r="AC47" s="1">
        <v>0.0</v>
      </c>
      <c r="AD47" s="1">
        <v>0.0</v>
      </c>
      <c r="AE47" s="6">
        <v>0.75</v>
      </c>
      <c r="AF47" s="1" t="s">
        <v>39</v>
      </c>
    </row>
    <row r="48">
      <c r="B48" s="2">
        <v>46196.0</v>
      </c>
      <c r="C48" s="3">
        <v>0.5833333333333334</v>
      </c>
      <c r="D48" s="3">
        <v>0.6041666666666666</v>
      </c>
      <c r="E48" s="3">
        <v>0.5833333333333334</v>
      </c>
      <c r="F48" s="3">
        <v>0.6041666666666666</v>
      </c>
      <c r="G48" s="1">
        <v>9.4335666501E10</v>
      </c>
      <c r="H48" s="1" t="s">
        <v>100</v>
      </c>
      <c r="J48" s="1" t="s">
        <v>32</v>
      </c>
      <c r="K48" s="4">
        <f>+523313273436</f>
        <v>523313273436</v>
      </c>
      <c r="L48" s="1" t="s">
        <v>101</v>
      </c>
      <c r="M48" s="1" t="s">
        <v>59</v>
      </c>
      <c r="P48" s="5">
        <v>15000.0</v>
      </c>
      <c r="Q48" s="1">
        <v>0.0</v>
      </c>
      <c r="R48" s="1" t="s">
        <v>45</v>
      </c>
      <c r="S48" s="1" t="s">
        <v>45</v>
      </c>
      <c r="U48" s="1" t="s">
        <v>36</v>
      </c>
      <c r="V48" s="1">
        <v>0.0</v>
      </c>
      <c r="W48" s="1">
        <v>30.0</v>
      </c>
      <c r="X48" s="1">
        <v>30.0</v>
      </c>
      <c r="Y48" s="1" t="s">
        <v>56</v>
      </c>
      <c r="AA48" s="1" t="s">
        <v>38</v>
      </c>
      <c r="AB48" s="1">
        <v>0.0</v>
      </c>
      <c r="AC48" s="1">
        <v>0.0</v>
      </c>
      <c r="AD48" s="1">
        <v>0.0</v>
      </c>
      <c r="AE48" s="6">
        <v>0.5833333333333334</v>
      </c>
      <c r="AF48" s="1" t="s">
        <v>39</v>
      </c>
    </row>
    <row r="49">
      <c r="B49" s="2">
        <v>46196.0</v>
      </c>
      <c r="C49" s="3">
        <v>0.4166666666666667</v>
      </c>
      <c r="D49" s="3">
        <v>0.4583333333333333</v>
      </c>
      <c r="E49" s="3">
        <v>0.4166666666666667</v>
      </c>
      <c r="F49" s="3">
        <v>0.44513888888888886</v>
      </c>
      <c r="G49" s="1">
        <v>2.28804938361E11</v>
      </c>
      <c r="H49" s="1" t="s">
        <v>146</v>
      </c>
      <c r="J49" s="1" t="s">
        <v>32</v>
      </c>
      <c r="K49" s="4">
        <f>+523311747270</f>
        <v>523311747270</v>
      </c>
      <c r="L49" s="1" t="s">
        <v>105</v>
      </c>
      <c r="M49" s="1" t="s">
        <v>48</v>
      </c>
      <c r="N49" s="1" t="s">
        <v>147</v>
      </c>
      <c r="P49" s="5">
        <v>18225.0</v>
      </c>
      <c r="R49" s="1" t="s">
        <v>45</v>
      </c>
      <c r="S49" s="1" t="s">
        <v>45</v>
      </c>
      <c r="U49" s="1" t="s">
        <v>36</v>
      </c>
      <c r="V49" s="1">
        <v>0.0</v>
      </c>
      <c r="W49" s="1">
        <v>41.0</v>
      </c>
      <c r="X49" s="1">
        <v>41.0</v>
      </c>
      <c r="Y49" s="1" t="s">
        <v>50</v>
      </c>
      <c r="AA49" s="1" t="s">
        <v>38</v>
      </c>
      <c r="AB49" s="1">
        <v>0.0</v>
      </c>
      <c r="AC49" s="1">
        <v>0.0</v>
      </c>
      <c r="AD49" s="1">
        <v>0.0</v>
      </c>
      <c r="AE49" s="6">
        <v>0.4166666666666667</v>
      </c>
      <c r="AF49" s="1" t="s">
        <v>39</v>
      </c>
    </row>
    <row r="50">
      <c r="B50" s="2">
        <v>46196.0</v>
      </c>
      <c r="C50" s="3">
        <v>0.3333333333333333</v>
      </c>
      <c r="D50" s="3">
        <v>0.375</v>
      </c>
      <c r="E50" s="3">
        <v>0.3333333333333333</v>
      </c>
      <c r="F50" s="3">
        <v>0.37222222222222223</v>
      </c>
      <c r="G50" s="1">
        <v>2.28999811988E11</v>
      </c>
      <c r="H50" s="1" t="s">
        <v>69</v>
      </c>
      <c r="J50" s="1" t="s">
        <v>32</v>
      </c>
      <c r="K50" s="4">
        <f>+523314097116</f>
        <v>523314097116</v>
      </c>
      <c r="L50" s="1" t="s">
        <v>83</v>
      </c>
      <c r="M50" s="1" t="s">
        <v>48</v>
      </c>
      <c r="N50" s="1" t="s">
        <v>148</v>
      </c>
      <c r="P50" s="1">
        <v>0.0</v>
      </c>
      <c r="R50" s="1" t="s">
        <v>70</v>
      </c>
      <c r="S50" s="1" t="s">
        <v>70</v>
      </c>
      <c r="U50" s="1" t="s">
        <v>36</v>
      </c>
      <c r="V50" s="1">
        <v>0.0</v>
      </c>
      <c r="W50" s="1">
        <v>56.0</v>
      </c>
      <c r="X50" s="1">
        <v>56.0</v>
      </c>
      <c r="Y50" s="1" t="s">
        <v>50</v>
      </c>
      <c r="AA50" s="1" t="s">
        <v>38</v>
      </c>
      <c r="AB50" s="1">
        <v>0.0</v>
      </c>
      <c r="AC50" s="1">
        <v>0.0</v>
      </c>
      <c r="AD50" s="1">
        <v>0.0</v>
      </c>
      <c r="AE50" s="6">
        <v>0.3333333333333333</v>
      </c>
      <c r="AF50" s="1" t="s">
        <v>39</v>
      </c>
    </row>
    <row r="51">
      <c r="B51" s="2">
        <v>46196.0</v>
      </c>
      <c r="C51" s="3">
        <v>0.5625</v>
      </c>
      <c r="D51" s="3">
        <v>0.5729166666666666</v>
      </c>
      <c r="E51" s="3">
        <v>0.5625</v>
      </c>
      <c r="F51" s="3">
        <v>0.5451388888888888</v>
      </c>
      <c r="G51" s="1">
        <v>2.24542660427E11</v>
      </c>
      <c r="H51" s="1" t="s">
        <v>149</v>
      </c>
      <c r="J51" s="1" t="s">
        <v>32</v>
      </c>
      <c r="K51" s="4">
        <f>+523142175992</f>
        <v>523142175992</v>
      </c>
      <c r="L51" s="1" t="s">
        <v>33</v>
      </c>
      <c r="M51" s="1" t="s">
        <v>34</v>
      </c>
      <c r="N51" s="1" t="s">
        <v>67</v>
      </c>
      <c r="P51" s="1">
        <v>0.0</v>
      </c>
      <c r="Q51" s="1">
        <v>0.0</v>
      </c>
      <c r="R51" s="1" t="s">
        <v>45</v>
      </c>
      <c r="S51" s="1" t="s">
        <v>45</v>
      </c>
      <c r="U51" s="1" t="s">
        <v>36</v>
      </c>
      <c r="V51" s="1">
        <v>0.0</v>
      </c>
      <c r="W51" s="1">
        <v>-25.0</v>
      </c>
      <c r="X51" s="1">
        <v>-25.0</v>
      </c>
      <c r="Y51" s="1" t="s">
        <v>50</v>
      </c>
      <c r="AA51" s="1" t="s">
        <v>38</v>
      </c>
      <c r="AB51" s="1">
        <v>0.0</v>
      </c>
      <c r="AC51" s="1">
        <v>0.0</v>
      </c>
      <c r="AD51" s="1">
        <v>0.0</v>
      </c>
      <c r="AE51" s="6">
        <v>0.5625</v>
      </c>
      <c r="AF51" s="1" t="s">
        <v>39</v>
      </c>
    </row>
    <row r="52">
      <c r="B52" s="2">
        <v>46196.0</v>
      </c>
      <c r="C52" s="3">
        <v>0.625</v>
      </c>
      <c r="D52" s="3">
        <v>0.6354166666666666</v>
      </c>
      <c r="E52" s="3">
        <v>0.625</v>
      </c>
      <c r="F52" s="3">
        <v>0.6347222222222222</v>
      </c>
      <c r="G52" s="1">
        <v>2.00056542612E11</v>
      </c>
      <c r="H52" s="1" t="s">
        <v>150</v>
      </c>
      <c r="J52" s="1" t="s">
        <v>32</v>
      </c>
      <c r="K52" s="4">
        <f>+523313331627</f>
        <v>523313331627</v>
      </c>
      <c r="L52" s="1" t="s">
        <v>33</v>
      </c>
      <c r="M52" s="1" t="s">
        <v>34</v>
      </c>
      <c r="N52" s="1" t="s">
        <v>68</v>
      </c>
      <c r="P52" s="5">
        <v>5500.0</v>
      </c>
      <c r="R52" s="1" t="s">
        <v>45</v>
      </c>
      <c r="S52" s="1" t="s">
        <v>45</v>
      </c>
      <c r="U52" s="1" t="s">
        <v>36</v>
      </c>
      <c r="V52" s="1">
        <v>0.0</v>
      </c>
      <c r="W52" s="1">
        <v>14.0</v>
      </c>
      <c r="X52" s="1">
        <v>14.0</v>
      </c>
      <c r="Y52" s="1" t="s">
        <v>50</v>
      </c>
      <c r="AA52" s="1" t="s">
        <v>38</v>
      </c>
      <c r="AB52" s="1">
        <v>0.0</v>
      </c>
      <c r="AC52" s="1">
        <v>0.0</v>
      </c>
      <c r="AD52" s="1">
        <v>0.0</v>
      </c>
      <c r="AE52" s="6">
        <v>0.625</v>
      </c>
      <c r="AF52" s="1" t="s">
        <v>39</v>
      </c>
    </row>
    <row r="53">
      <c r="B53" s="2">
        <v>46196.0</v>
      </c>
      <c r="C53" s="3">
        <v>0.7916666666666666</v>
      </c>
      <c r="D53" s="3">
        <v>0.8333333333333334</v>
      </c>
      <c r="E53" s="3">
        <v>0.7916666666666666</v>
      </c>
      <c r="F53" s="3">
        <v>0.325</v>
      </c>
      <c r="G53" s="1">
        <v>2.2774296067E11</v>
      </c>
      <c r="H53" s="1" t="s">
        <v>151</v>
      </c>
      <c r="J53" s="1" t="s">
        <v>32</v>
      </c>
      <c r="K53" s="4">
        <f>+5213320578424</f>
        <v>5213320578424</v>
      </c>
      <c r="L53" s="1" t="s">
        <v>83</v>
      </c>
      <c r="M53" s="1" t="s">
        <v>48</v>
      </c>
      <c r="N53" s="1" t="s">
        <v>152</v>
      </c>
      <c r="P53" s="5">
        <v>0.0</v>
      </c>
      <c r="R53" s="1" t="s">
        <v>35</v>
      </c>
      <c r="S53" s="1" t="s">
        <v>35</v>
      </c>
      <c r="U53" s="1" t="s">
        <v>36</v>
      </c>
      <c r="V53" s="1">
        <v>0.0</v>
      </c>
      <c r="W53" s="1">
        <v>-672.0</v>
      </c>
      <c r="X53" s="1">
        <v>-672.0</v>
      </c>
      <c r="Y53" s="1" t="s">
        <v>50</v>
      </c>
      <c r="AA53" s="1" t="s">
        <v>38</v>
      </c>
      <c r="AB53" s="1">
        <v>1.0</v>
      </c>
      <c r="AC53" s="5">
        <v>1300.0</v>
      </c>
      <c r="AD53" s="1">
        <v>0.0</v>
      </c>
      <c r="AE53" s="6">
        <v>0.7916666666666666</v>
      </c>
      <c r="AF53" s="1" t="s">
        <v>39</v>
      </c>
    </row>
    <row r="54">
      <c r="B54" s="2">
        <v>46195.0</v>
      </c>
      <c r="C54" s="3">
        <v>0.5</v>
      </c>
      <c r="D54" s="3">
        <v>0.5104166666666666</v>
      </c>
      <c r="E54" s="3">
        <v>0.5</v>
      </c>
      <c r="F54" s="3">
        <v>0.5118055555555555</v>
      </c>
      <c r="G54" s="1">
        <v>2.28577788033E11</v>
      </c>
      <c r="H54" s="1" t="s">
        <v>153</v>
      </c>
      <c r="J54" s="1" t="s">
        <v>32</v>
      </c>
      <c r="K54" s="4">
        <f>+523319122863</f>
        <v>523319122863</v>
      </c>
      <c r="L54" s="1" t="s">
        <v>33</v>
      </c>
      <c r="M54" s="1" t="s">
        <v>34</v>
      </c>
      <c r="P54" s="5">
        <v>0.0</v>
      </c>
      <c r="R54" s="1" t="s">
        <v>62</v>
      </c>
      <c r="S54" s="1" t="s">
        <v>62</v>
      </c>
      <c r="U54" s="1" t="s">
        <v>36</v>
      </c>
      <c r="V54" s="1">
        <v>0.0</v>
      </c>
      <c r="W54" s="1">
        <v>17.0</v>
      </c>
      <c r="X54" s="1">
        <v>17.0</v>
      </c>
      <c r="Y54" s="1" t="s">
        <v>37</v>
      </c>
      <c r="AA54" s="1" t="s">
        <v>38</v>
      </c>
      <c r="AB54" s="1">
        <v>0.0</v>
      </c>
      <c r="AC54" s="1">
        <v>0.0</v>
      </c>
      <c r="AD54" s="1">
        <v>0.0</v>
      </c>
      <c r="AE54" s="6">
        <v>0.5</v>
      </c>
      <c r="AF54" s="1" t="s">
        <v>39</v>
      </c>
    </row>
    <row r="55">
      <c r="B55" s="2">
        <v>46195.0</v>
      </c>
      <c r="C55" s="3">
        <v>0.5208333333333334</v>
      </c>
      <c r="D55" s="3">
        <v>0.5277777777777778</v>
      </c>
      <c r="E55" s="3">
        <v>0.5208333333333334</v>
      </c>
      <c r="F55" s="3">
        <v>0.5548611111111111</v>
      </c>
      <c r="G55" s="1">
        <v>1.22822030101E11</v>
      </c>
      <c r="H55" s="1" t="s">
        <v>96</v>
      </c>
      <c r="J55" s="1" t="s">
        <v>32</v>
      </c>
      <c r="K55" s="1">
        <v>9.167431507E9</v>
      </c>
      <c r="L55" s="1" t="s">
        <v>41</v>
      </c>
      <c r="M55" s="1" t="s">
        <v>42</v>
      </c>
      <c r="N55" s="1" t="s">
        <v>154</v>
      </c>
      <c r="P55" s="5">
        <v>15187.5</v>
      </c>
      <c r="R55" s="1" t="s">
        <v>44</v>
      </c>
      <c r="S55" s="1" t="s">
        <v>45</v>
      </c>
      <c r="U55" s="1" t="s">
        <v>55</v>
      </c>
      <c r="V55" s="1">
        <v>0.0</v>
      </c>
      <c r="W55" s="1">
        <v>49.0</v>
      </c>
      <c r="X55" s="1">
        <v>49.0</v>
      </c>
      <c r="Y55" s="1" t="s">
        <v>155</v>
      </c>
      <c r="AB55" s="1">
        <v>0.0</v>
      </c>
      <c r="AC55" s="1">
        <v>0.0</v>
      </c>
      <c r="AD55" s="1">
        <v>0.0</v>
      </c>
      <c r="AE55" s="6">
        <v>0.5208333333333334</v>
      </c>
      <c r="AF55" s="1" t="s">
        <v>39</v>
      </c>
    </row>
    <row r="56">
      <c r="B56" s="2">
        <v>46195.0</v>
      </c>
      <c r="C56" s="3">
        <v>0.3541666666666667</v>
      </c>
      <c r="D56" s="3">
        <v>0.3611111111111111</v>
      </c>
      <c r="E56" s="3">
        <v>0.3541666666666667</v>
      </c>
      <c r="F56" s="3">
        <v>0.3958333333333333</v>
      </c>
      <c r="G56" s="1">
        <v>2.20498777401E11</v>
      </c>
      <c r="H56" s="1" t="s">
        <v>61</v>
      </c>
      <c r="J56" s="1" t="s">
        <v>32</v>
      </c>
      <c r="K56" s="4" t="str">
        <f>+1 469 682 8679</f>
        <v>#ERROR!</v>
      </c>
      <c r="L56" s="1" t="s">
        <v>41</v>
      </c>
      <c r="M56" s="1" t="s">
        <v>42</v>
      </c>
      <c r="N56" s="1" t="s">
        <v>156</v>
      </c>
      <c r="P56" s="5">
        <v>28050.0</v>
      </c>
      <c r="R56" s="1" t="s">
        <v>44</v>
      </c>
      <c r="S56" s="1" t="s">
        <v>62</v>
      </c>
      <c r="U56" s="1" t="s">
        <v>55</v>
      </c>
      <c r="V56" s="1">
        <v>0.0</v>
      </c>
      <c r="W56" s="1">
        <v>60.0</v>
      </c>
      <c r="X56" s="1">
        <v>60.0</v>
      </c>
      <c r="Y56" s="1" t="s">
        <v>155</v>
      </c>
      <c r="AA56" s="1" t="s">
        <v>64</v>
      </c>
      <c r="AB56" s="1">
        <v>0.0</v>
      </c>
      <c r="AC56" s="1">
        <v>0.0</v>
      </c>
      <c r="AD56" s="1">
        <v>0.0</v>
      </c>
      <c r="AE56" s="6">
        <v>0.3541666666666667</v>
      </c>
      <c r="AF56" s="1" t="s">
        <v>39</v>
      </c>
    </row>
    <row r="57">
      <c r="B57" s="2">
        <v>46195.0</v>
      </c>
      <c r="C57" s="3">
        <v>0.4166666666666667</v>
      </c>
      <c r="D57" s="3">
        <v>0.4479166666666667</v>
      </c>
      <c r="E57" s="3">
        <v>0.4166666666666667</v>
      </c>
      <c r="F57" s="3">
        <v>0.4534722222222222</v>
      </c>
      <c r="H57" s="1" t="s">
        <v>157</v>
      </c>
      <c r="J57" s="1" t="s">
        <v>32</v>
      </c>
      <c r="K57" s="4">
        <f>+52-33-14-665402</f>
        <v>-665397</v>
      </c>
      <c r="L57" s="1" t="s">
        <v>158</v>
      </c>
      <c r="M57" s="1" t="s">
        <v>42</v>
      </c>
      <c r="N57" s="1" t="s">
        <v>159</v>
      </c>
      <c r="P57" s="1">
        <v>0.0</v>
      </c>
      <c r="Q57" s="1">
        <v>0.0</v>
      </c>
      <c r="R57" s="1" t="s">
        <v>53</v>
      </c>
      <c r="S57" s="1" t="s">
        <v>45</v>
      </c>
      <c r="U57" s="1" t="s">
        <v>55</v>
      </c>
      <c r="V57" s="1">
        <v>0.0</v>
      </c>
      <c r="W57" s="1">
        <v>53.0</v>
      </c>
      <c r="X57" s="1">
        <v>53.0</v>
      </c>
      <c r="Y57" s="1" t="s">
        <v>155</v>
      </c>
      <c r="AA57" s="1" t="s">
        <v>160</v>
      </c>
      <c r="AB57" s="1">
        <v>0.0</v>
      </c>
      <c r="AC57" s="1">
        <v>0.0</v>
      </c>
      <c r="AD57" s="1">
        <v>0.0</v>
      </c>
      <c r="AE57" s="6">
        <v>0.4166666666666667</v>
      </c>
      <c r="AF57" s="1" t="s">
        <v>39</v>
      </c>
    </row>
    <row r="58">
      <c r="B58" s="2">
        <v>46195.0</v>
      </c>
      <c r="C58" s="3">
        <v>0.4375</v>
      </c>
      <c r="D58" s="3">
        <v>0.4513888888888889</v>
      </c>
      <c r="E58" s="3">
        <v>0.4375</v>
      </c>
      <c r="F58" s="3">
        <v>0.4534722222222222</v>
      </c>
      <c r="G58" s="7">
        <v>2.08377036386E11</v>
      </c>
      <c r="H58" s="1" t="s">
        <v>161</v>
      </c>
      <c r="J58" s="1" t="s">
        <v>32</v>
      </c>
      <c r="K58" s="4">
        <f>+523326153847</f>
        <v>523326153847</v>
      </c>
      <c r="L58" s="1" t="s">
        <v>162</v>
      </c>
      <c r="M58" s="1" t="s">
        <v>34</v>
      </c>
      <c r="N58" s="1" t="s">
        <v>67</v>
      </c>
      <c r="P58" s="5">
        <v>0.0</v>
      </c>
      <c r="Q58" s="1">
        <v>0.0</v>
      </c>
      <c r="R58" s="1" t="s">
        <v>70</v>
      </c>
      <c r="S58" s="1" t="s">
        <v>70</v>
      </c>
      <c r="U58" s="1" t="s">
        <v>55</v>
      </c>
      <c r="V58" s="1">
        <v>0.0</v>
      </c>
      <c r="W58" s="1">
        <v>23.0</v>
      </c>
      <c r="X58" s="1">
        <v>23.0</v>
      </c>
      <c r="Y58" s="1" t="s">
        <v>50</v>
      </c>
      <c r="AA58" s="1" t="s">
        <v>38</v>
      </c>
      <c r="AB58" s="1">
        <v>0.0</v>
      </c>
      <c r="AC58" s="1">
        <v>0.0</v>
      </c>
      <c r="AD58" s="1">
        <v>0.0</v>
      </c>
      <c r="AE58" s="6">
        <v>0.4375</v>
      </c>
      <c r="AF58" s="1" t="s">
        <v>39</v>
      </c>
    </row>
    <row r="59">
      <c r="B59" s="2">
        <v>46195.0</v>
      </c>
      <c r="C59" s="3">
        <v>0.5208333333333334</v>
      </c>
      <c r="D59" s="3">
        <v>0.5416666666666666</v>
      </c>
      <c r="E59" s="3">
        <v>0.5208333333333334</v>
      </c>
      <c r="F59" s="3">
        <v>0.5548611111111111</v>
      </c>
      <c r="G59" s="1">
        <v>1.22822030101E11</v>
      </c>
      <c r="H59" s="1" t="s">
        <v>96</v>
      </c>
      <c r="J59" s="1" t="s">
        <v>32</v>
      </c>
      <c r="K59" s="1">
        <v>9.167431507E9</v>
      </c>
      <c r="L59" s="1" t="s">
        <v>66</v>
      </c>
      <c r="M59" s="1" t="s">
        <v>34</v>
      </c>
      <c r="N59" s="1" t="s">
        <v>67</v>
      </c>
      <c r="P59" s="5">
        <v>15187.5</v>
      </c>
      <c r="R59" s="1" t="s">
        <v>45</v>
      </c>
      <c r="S59" s="1" t="s">
        <v>45</v>
      </c>
      <c r="U59" s="1" t="s">
        <v>55</v>
      </c>
      <c r="V59" s="1">
        <v>0.0</v>
      </c>
      <c r="W59" s="1">
        <v>49.0</v>
      </c>
      <c r="X59" s="1">
        <v>49.0</v>
      </c>
      <c r="Y59" s="1" t="s">
        <v>50</v>
      </c>
      <c r="AB59" s="1">
        <v>0.0</v>
      </c>
      <c r="AC59" s="1">
        <v>0.0</v>
      </c>
      <c r="AD59" s="1">
        <v>0.0</v>
      </c>
      <c r="AE59" s="6">
        <v>0.5208333333333334</v>
      </c>
      <c r="AF59" s="1" t="s">
        <v>39</v>
      </c>
    </row>
    <row r="60">
      <c r="B60" s="2">
        <v>46195.0</v>
      </c>
      <c r="C60" s="3">
        <v>0.3958333333333333</v>
      </c>
      <c r="D60" s="3">
        <v>0.4166666666666667</v>
      </c>
      <c r="E60" s="3">
        <v>0.3958333333333333</v>
      </c>
      <c r="F60" s="3">
        <v>0.4534722222222222</v>
      </c>
      <c r="G60" s="1">
        <v>1.64157311103E11</v>
      </c>
      <c r="H60" s="1" t="s">
        <v>163</v>
      </c>
      <c r="J60" s="1" t="s">
        <v>32</v>
      </c>
      <c r="K60" s="4">
        <f t="shared" ref="K60:K61" si="2">+523314665402</f>
        <v>523314665402</v>
      </c>
      <c r="L60" s="1" t="s">
        <v>90</v>
      </c>
      <c r="M60" s="1" t="s">
        <v>87</v>
      </c>
      <c r="P60" s="1">
        <v>0.0</v>
      </c>
      <c r="Q60" s="1">
        <v>0.0</v>
      </c>
      <c r="R60" s="1" t="s">
        <v>45</v>
      </c>
      <c r="S60" s="1" t="s">
        <v>45</v>
      </c>
      <c r="U60" s="1" t="s">
        <v>164</v>
      </c>
      <c r="V60" s="1">
        <v>0.0</v>
      </c>
      <c r="W60" s="1">
        <v>83.0</v>
      </c>
      <c r="X60" s="1">
        <v>83.0</v>
      </c>
      <c r="Y60" s="1" t="s">
        <v>56</v>
      </c>
      <c r="AA60" s="1" t="s">
        <v>38</v>
      </c>
      <c r="AB60" s="1">
        <v>0.0</v>
      </c>
      <c r="AC60" s="1">
        <v>0.0</v>
      </c>
      <c r="AD60" s="1">
        <v>0.0</v>
      </c>
      <c r="AE60" s="6">
        <v>0.3958333333333333</v>
      </c>
      <c r="AF60" s="1" t="s">
        <v>39</v>
      </c>
    </row>
    <row r="61">
      <c r="B61" s="2">
        <v>46195.0</v>
      </c>
      <c r="C61" s="3">
        <v>0.3958333333333333</v>
      </c>
      <c r="D61" s="3">
        <v>0.4166666666666667</v>
      </c>
      <c r="E61" s="3">
        <v>0.3958333333333333</v>
      </c>
      <c r="F61" s="3">
        <v>0.40625</v>
      </c>
      <c r="G61" s="1">
        <v>1.64157311103E11</v>
      </c>
      <c r="H61" s="1" t="s">
        <v>163</v>
      </c>
      <c r="J61" s="1" t="s">
        <v>32</v>
      </c>
      <c r="K61" s="4">
        <f t="shared" si="2"/>
        <v>523314665402</v>
      </c>
      <c r="L61" s="1" t="s">
        <v>90</v>
      </c>
      <c r="M61" s="1" t="s">
        <v>87</v>
      </c>
      <c r="P61" s="1">
        <v>0.0</v>
      </c>
      <c r="Q61" s="1">
        <v>0.0</v>
      </c>
      <c r="R61" s="1" t="s">
        <v>53</v>
      </c>
      <c r="S61" s="1" t="s">
        <v>45</v>
      </c>
      <c r="U61" s="1" t="s">
        <v>164</v>
      </c>
      <c r="V61" s="1">
        <v>0.0</v>
      </c>
      <c r="W61" s="1">
        <v>15.0</v>
      </c>
      <c r="X61" s="1">
        <v>15.0</v>
      </c>
      <c r="Y61" s="1" t="s">
        <v>56</v>
      </c>
      <c r="AA61" s="1" t="s">
        <v>38</v>
      </c>
      <c r="AB61" s="1">
        <v>0.0</v>
      </c>
      <c r="AC61" s="1">
        <v>0.0</v>
      </c>
      <c r="AD61" s="1">
        <v>0.0</v>
      </c>
      <c r="AE61" s="6">
        <v>0.3958333333333333</v>
      </c>
      <c r="AF61" s="1" t="s">
        <v>39</v>
      </c>
    </row>
    <row r="62">
      <c r="B62" s="2">
        <v>46195.0</v>
      </c>
      <c r="C62" s="3">
        <v>0.7083333333333334</v>
      </c>
      <c r="D62" s="3">
        <v>0.75</v>
      </c>
      <c r="E62" s="3">
        <v>0.7083333333333334</v>
      </c>
      <c r="F62" s="3">
        <v>0.75</v>
      </c>
      <c r="G62" s="1">
        <v>2.29039186335E11</v>
      </c>
      <c r="H62" s="1" t="s">
        <v>113</v>
      </c>
      <c r="J62" s="1" t="s">
        <v>32</v>
      </c>
      <c r="K62" s="4">
        <f>+522411107211</f>
        <v>522411107211</v>
      </c>
      <c r="L62" s="1" t="s">
        <v>83</v>
      </c>
      <c r="M62" s="1" t="s">
        <v>48</v>
      </c>
      <c r="N62" s="1" t="s">
        <v>165</v>
      </c>
      <c r="P62" s="5">
        <v>0.0</v>
      </c>
      <c r="R62" s="1" t="s">
        <v>35</v>
      </c>
      <c r="S62" s="1" t="s">
        <v>35</v>
      </c>
      <c r="U62" s="1" t="s">
        <v>36</v>
      </c>
      <c r="V62" s="1">
        <v>0.0</v>
      </c>
      <c r="W62" s="1">
        <v>60.0</v>
      </c>
      <c r="X62" s="1">
        <v>60.0</v>
      </c>
      <c r="Y62" s="1" t="s">
        <v>50</v>
      </c>
      <c r="AA62" s="1" t="s">
        <v>38</v>
      </c>
      <c r="AB62" s="1">
        <v>0.0</v>
      </c>
      <c r="AC62" s="1">
        <v>0.0</v>
      </c>
      <c r="AD62" s="1">
        <v>0.0</v>
      </c>
      <c r="AE62" s="6">
        <v>0.7083333333333334</v>
      </c>
      <c r="AF62" s="1" t="s">
        <v>39</v>
      </c>
    </row>
    <row r="63">
      <c r="B63" s="2">
        <v>46195.0</v>
      </c>
      <c r="C63" s="3">
        <v>0.3506944444444444</v>
      </c>
      <c r="D63" s="3">
        <v>0.3611111111111111</v>
      </c>
      <c r="E63" s="3">
        <v>0.3506944444444444</v>
      </c>
      <c r="F63" s="3">
        <v>0.3958333333333333</v>
      </c>
      <c r="H63" s="1" t="s">
        <v>166</v>
      </c>
      <c r="J63" s="1" t="s">
        <v>32</v>
      </c>
      <c r="K63" s="1">
        <v>1.13605508336E11</v>
      </c>
      <c r="L63" s="1" t="s">
        <v>97</v>
      </c>
      <c r="M63" s="1" t="s">
        <v>42</v>
      </c>
      <c r="N63" s="1" t="s">
        <v>167</v>
      </c>
      <c r="P63" s="5">
        <v>1172.0</v>
      </c>
      <c r="Q63" s="1">
        <v>0.0</v>
      </c>
      <c r="R63" s="1" t="s">
        <v>44</v>
      </c>
      <c r="S63" s="1" t="s">
        <v>45</v>
      </c>
      <c r="U63" s="1" t="s">
        <v>36</v>
      </c>
      <c r="V63" s="1">
        <v>0.0</v>
      </c>
      <c r="W63" s="1">
        <v>65.0</v>
      </c>
      <c r="X63" s="1">
        <v>65.0</v>
      </c>
      <c r="Y63" s="1" t="s">
        <v>56</v>
      </c>
      <c r="AA63" s="1" t="s">
        <v>38</v>
      </c>
      <c r="AB63" s="1">
        <v>0.0</v>
      </c>
      <c r="AC63" s="1">
        <v>0.0</v>
      </c>
      <c r="AD63" s="1">
        <v>0.0</v>
      </c>
      <c r="AE63" s="6">
        <v>0.3506944444444444</v>
      </c>
      <c r="AF63" s="1" t="s">
        <v>39</v>
      </c>
    </row>
    <row r="64">
      <c r="B64" s="2">
        <v>46195.0</v>
      </c>
      <c r="C64" s="3">
        <v>0.5416666666666666</v>
      </c>
      <c r="D64" s="3">
        <v>0.5625</v>
      </c>
      <c r="E64" s="3">
        <v>0.5416666666666666</v>
      </c>
      <c r="F64" s="3">
        <v>0.5680555555555555</v>
      </c>
      <c r="H64" s="1" t="s">
        <v>168</v>
      </c>
      <c r="J64" s="1" t="s">
        <v>32</v>
      </c>
      <c r="K64" s="4" t="str">
        <f>+52 33 1892 9073</f>
        <v>#ERROR!</v>
      </c>
      <c r="L64" s="1" t="s">
        <v>86</v>
      </c>
      <c r="M64" s="1" t="s">
        <v>87</v>
      </c>
      <c r="N64" s="1" t="s">
        <v>169</v>
      </c>
      <c r="P64" s="1">
        <v>0.0</v>
      </c>
      <c r="Q64" s="1">
        <v>0.0</v>
      </c>
      <c r="R64" s="1" t="s">
        <v>53</v>
      </c>
      <c r="S64" s="1" t="s">
        <v>54</v>
      </c>
      <c r="U64" s="1" t="s">
        <v>55</v>
      </c>
      <c r="V64" s="1">
        <v>0.0</v>
      </c>
      <c r="W64" s="1">
        <v>38.0</v>
      </c>
      <c r="X64" s="1">
        <v>38.0</v>
      </c>
      <c r="Y64" s="1" t="s">
        <v>78</v>
      </c>
      <c r="AA64" s="1" t="s">
        <v>38</v>
      </c>
      <c r="AB64" s="1">
        <v>0.0</v>
      </c>
      <c r="AC64" s="1">
        <v>0.0</v>
      </c>
      <c r="AD64" s="1">
        <v>0.0</v>
      </c>
      <c r="AE64" s="6">
        <v>0.5416666666666666</v>
      </c>
      <c r="AF64" s="1" t="s">
        <v>39</v>
      </c>
    </row>
    <row r="65">
      <c r="B65" s="2">
        <v>46195.0</v>
      </c>
      <c r="C65" s="3">
        <v>0.5</v>
      </c>
      <c r="D65" s="3">
        <v>0.5208333333333334</v>
      </c>
      <c r="E65" s="3">
        <v>0.5</v>
      </c>
      <c r="F65" s="3">
        <v>0.5541666666666667</v>
      </c>
      <c r="H65" s="1" t="s">
        <v>170</v>
      </c>
      <c r="J65" s="1" t="s">
        <v>32</v>
      </c>
      <c r="K65" s="4" t="str">
        <f>+52 33 1439 8096</f>
        <v>#ERROR!</v>
      </c>
      <c r="L65" s="1" t="s">
        <v>86</v>
      </c>
      <c r="M65" s="1" t="s">
        <v>87</v>
      </c>
      <c r="N65" s="1" t="s">
        <v>171</v>
      </c>
      <c r="P65" s="5">
        <v>-13999.95</v>
      </c>
      <c r="Q65" s="1">
        <v>0.0</v>
      </c>
      <c r="R65" s="1" t="s">
        <v>53</v>
      </c>
      <c r="S65" s="1" t="s">
        <v>172</v>
      </c>
      <c r="U65" s="1" t="s">
        <v>55</v>
      </c>
      <c r="V65" s="1">
        <v>0.0</v>
      </c>
      <c r="W65" s="1">
        <v>78.0</v>
      </c>
      <c r="X65" s="1">
        <v>78.0</v>
      </c>
      <c r="Y65" s="1" t="s">
        <v>78</v>
      </c>
      <c r="AA65" s="1" t="s">
        <v>38</v>
      </c>
      <c r="AB65" s="1">
        <v>0.0</v>
      </c>
      <c r="AC65" s="1">
        <v>0.0</v>
      </c>
      <c r="AD65" s="1">
        <v>0.0</v>
      </c>
      <c r="AE65" s="6">
        <v>0.5</v>
      </c>
      <c r="AF65" s="1" t="s">
        <v>39</v>
      </c>
    </row>
    <row r="66">
      <c r="B66" s="2">
        <v>46195.0</v>
      </c>
      <c r="C66" s="3">
        <v>0.3541666666666667</v>
      </c>
      <c r="D66" s="3">
        <v>0.375</v>
      </c>
      <c r="E66" s="3">
        <v>0.3541666666666667</v>
      </c>
      <c r="F66" s="3">
        <v>0.39652777777777776</v>
      </c>
      <c r="H66" s="1" t="s">
        <v>173</v>
      </c>
      <c r="J66" s="1" t="s">
        <v>32</v>
      </c>
      <c r="K66" s="4" t="str">
        <f>+52 33 1535 5998</f>
        <v>#ERROR!</v>
      </c>
      <c r="L66" s="1" t="s">
        <v>90</v>
      </c>
      <c r="M66" s="1" t="s">
        <v>87</v>
      </c>
      <c r="N66" s="1" t="s">
        <v>174</v>
      </c>
      <c r="P66" s="1">
        <v>0.0</v>
      </c>
      <c r="Q66" s="1">
        <v>0.0</v>
      </c>
      <c r="R66" s="1" t="s">
        <v>53</v>
      </c>
      <c r="S66" s="1" t="s">
        <v>54</v>
      </c>
      <c r="U66" s="1" t="s">
        <v>55</v>
      </c>
      <c r="V66" s="1">
        <v>0.0</v>
      </c>
      <c r="W66" s="1">
        <v>61.0</v>
      </c>
      <c r="X66" s="1">
        <v>61.0</v>
      </c>
      <c r="Y66" s="1" t="s">
        <v>78</v>
      </c>
      <c r="AA66" s="1" t="s">
        <v>38</v>
      </c>
      <c r="AB66" s="1">
        <v>0.0</v>
      </c>
      <c r="AC66" s="1">
        <v>0.0</v>
      </c>
      <c r="AD66" s="1">
        <v>0.0</v>
      </c>
      <c r="AE66" s="6">
        <v>0.3541666666666667</v>
      </c>
      <c r="AF66" s="1" t="s">
        <v>39</v>
      </c>
    </row>
    <row r="67">
      <c r="B67" s="2">
        <v>46195.0</v>
      </c>
      <c r="C67" s="3">
        <v>0.2916666666666667</v>
      </c>
      <c r="D67" s="3">
        <v>0.3333333333333333</v>
      </c>
      <c r="E67" s="3">
        <v>0.2916666666666667</v>
      </c>
      <c r="F67" s="3">
        <v>0.32013888888888886</v>
      </c>
      <c r="G67" s="7"/>
      <c r="H67" s="1" t="s">
        <v>175</v>
      </c>
      <c r="J67" s="1" t="s">
        <v>32</v>
      </c>
      <c r="K67" s="1">
        <v>343434.0</v>
      </c>
      <c r="L67" s="1" t="s">
        <v>176</v>
      </c>
      <c r="M67" s="1" t="s">
        <v>87</v>
      </c>
      <c r="N67" s="1" t="s">
        <v>177</v>
      </c>
      <c r="P67" s="5">
        <v>0.0</v>
      </c>
      <c r="R67" s="1" t="s">
        <v>44</v>
      </c>
      <c r="S67" s="1" t="s">
        <v>178</v>
      </c>
      <c r="U67" s="1" t="s">
        <v>55</v>
      </c>
      <c r="V67" s="1">
        <v>0.0</v>
      </c>
      <c r="W67" s="1">
        <v>41.0</v>
      </c>
      <c r="X67" s="1">
        <v>41.0</v>
      </c>
      <c r="Y67" s="1" t="s">
        <v>78</v>
      </c>
      <c r="AA67" s="1" t="s">
        <v>38</v>
      </c>
      <c r="AB67" s="1">
        <v>0.0</v>
      </c>
      <c r="AC67" s="1">
        <v>0.0</v>
      </c>
      <c r="AD67" s="1">
        <v>0.0</v>
      </c>
      <c r="AE67" s="6">
        <v>0.2916666666666667</v>
      </c>
      <c r="AF67" s="1" t="s">
        <v>39</v>
      </c>
    </row>
    <row r="68">
      <c r="B68" s="2">
        <v>46195.0</v>
      </c>
      <c r="C68" s="3">
        <v>0.5208333333333334</v>
      </c>
      <c r="D68" s="3">
        <v>0.5416666666666666</v>
      </c>
      <c r="E68" s="3">
        <v>0.5208333333333334</v>
      </c>
      <c r="F68" s="3">
        <v>0.5854166666666667</v>
      </c>
      <c r="G68" s="7">
        <v>1.52406013606E11</v>
      </c>
      <c r="H68" s="1" t="s">
        <v>179</v>
      </c>
      <c r="J68" s="1" t="s">
        <v>32</v>
      </c>
      <c r="K68" s="4">
        <f>+5213332182592</f>
        <v>5213332182592</v>
      </c>
      <c r="L68" s="1" t="s">
        <v>101</v>
      </c>
      <c r="M68" s="1" t="s">
        <v>59</v>
      </c>
      <c r="P68" s="5">
        <v>0.0</v>
      </c>
      <c r="Q68" s="1">
        <v>0.0</v>
      </c>
      <c r="R68" s="1" t="s">
        <v>122</v>
      </c>
      <c r="S68" s="1" t="s">
        <v>122</v>
      </c>
      <c r="U68" s="1" t="s">
        <v>55</v>
      </c>
      <c r="V68" s="1">
        <v>0.0</v>
      </c>
      <c r="W68" s="1">
        <v>93.0</v>
      </c>
      <c r="X68" s="1">
        <v>93.0</v>
      </c>
      <c r="Y68" s="1" t="s">
        <v>56</v>
      </c>
      <c r="AA68" s="1" t="s">
        <v>38</v>
      </c>
      <c r="AB68" s="1">
        <v>0.0</v>
      </c>
      <c r="AC68" s="1">
        <v>0.0</v>
      </c>
      <c r="AD68" s="1">
        <v>0.0</v>
      </c>
      <c r="AE68" s="6">
        <v>0.5208333333333334</v>
      </c>
      <c r="AF68" s="1" t="s">
        <v>39</v>
      </c>
    </row>
    <row r="69">
      <c r="B69" s="2">
        <v>46195.0</v>
      </c>
      <c r="C69" s="3">
        <v>0.5416666666666666</v>
      </c>
      <c r="D69" s="3">
        <v>0.5833333333333334</v>
      </c>
      <c r="E69" s="3">
        <v>0.5416666666666666</v>
      </c>
      <c r="F69" s="3">
        <v>0.6375</v>
      </c>
      <c r="G69" s="1">
        <v>2.0984986002E11</v>
      </c>
      <c r="H69" s="1" t="s">
        <v>180</v>
      </c>
      <c r="J69" s="1" t="s">
        <v>32</v>
      </c>
      <c r="K69" s="4" t="str">
        <f>+52 33 3167 0108</f>
        <v>#ERROR!</v>
      </c>
      <c r="L69" s="1" t="s">
        <v>181</v>
      </c>
      <c r="M69" s="1" t="s">
        <v>182</v>
      </c>
      <c r="N69" s="1" t="s">
        <v>68</v>
      </c>
      <c r="P69" s="5">
        <v>0.0</v>
      </c>
      <c r="Q69" s="1">
        <v>0.0</v>
      </c>
      <c r="R69" s="1" t="s">
        <v>183</v>
      </c>
      <c r="S69" s="1" t="s">
        <v>45</v>
      </c>
      <c r="U69" s="1" t="s">
        <v>36</v>
      </c>
      <c r="V69" s="1">
        <v>0.0</v>
      </c>
      <c r="W69" s="1">
        <v>138.0</v>
      </c>
      <c r="X69" s="1">
        <v>138.0</v>
      </c>
      <c r="Y69" s="1" t="s">
        <v>50</v>
      </c>
      <c r="AA69" s="1" t="s">
        <v>38</v>
      </c>
      <c r="AB69" s="1">
        <v>0.0</v>
      </c>
      <c r="AC69" s="1">
        <v>0.0</v>
      </c>
      <c r="AD69" s="1">
        <v>0.0</v>
      </c>
      <c r="AE69" s="6">
        <v>0.5416666666666666</v>
      </c>
      <c r="AF69" s="1" t="s">
        <v>39</v>
      </c>
    </row>
    <row r="70">
      <c r="B70" s="2">
        <v>46195.0</v>
      </c>
      <c r="C70" s="3">
        <v>0.3541666666666667</v>
      </c>
      <c r="D70" s="3">
        <v>0.375</v>
      </c>
      <c r="E70" s="3">
        <v>0.3541666666666667</v>
      </c>
      <c r="F70" s="3">
        <v>0.39652777777777776</v>
      </c>
      <c r="G70" s="1">
        <v>2.20498777401E11</v>
      </c>
      <c r="H70" s="1" t="s">
        <v>61</v>
      </c>
      <c r="J70" s="1" t="s">
        <v>32</v>
      </c>
      <c r="K70" s="4" t="str">
        <f>+1 469 682 8679</f>
        <v>#ERROR!</v>
      </c>
      <c r="L70" s="1" t="s">
        <v>66</v>
      </c>
      <c r="M70" s="1" t="s">
        <v>34</v>
      </c>
      <c r="N70" s="1" t="s">
        <v>68</v>
      </c>
      <c r="P70" s="5">
        <v>28050.0</v>
      </c>
      <c r="R70" s="1" t="s">
        <v>62</v>
      </c>
      <c r="S70" s="1" t="s">
        <v>62</v>
      </c>
      <c r="U70" s="1" t="s">
        <v>55</v>
      </c>
      <c r="V70" s="1">
        <v>0.0</v>
      </c>
      <c r="W70" s="1">
        <v>61.0</v>
      </c>
      <c r="X70" s="1">
        <v>61.0</v>
      </c>
      <c r="Y70" s="1" t="s">
        <v>50</v>
      </c>
      <c r="AA70" s="1" t="s">
        <v>64</v>
      </c>
      <c r="AB70" s="1">
        <v>0.0</v>
      </c>
      <c r="AC70" s="1">
        <v>0.0</v>
      </c>
      <c r="AD70" s="1">
        <v>0.0</v>
      </c>
      <c r="AE70" s="6">
        <v>0.3541666666666667</v>
      </c>
      <c r="AF70" s="1" t="s">
        <v>39</v>
      </c>
    </row>
    <row r="71">
      <c r="B71" s="2">
        <v>46195.0</v>
      </c>
      <c r="C71" s="3">
        <v>0.375</v>
      </c>
      <c r="D71" s="3">
        <v>0.40625</v>
      </c>
      <c r="E71" s="3">
        <v>0.375</v>
      </c>
      <c r="F71" s="3">
        <v>0.3972222222222222</v>
      </c>
      <c r="H71" s="1" t="s">
        <v>184</v>
      </c>
      <c r="J71" s="1" t="s">
        <v>32</v>
      </c>
      <c r="K71" s="4" t="str">
        <f>+52 33 1535 5998</f>
        <v>#ERROR!</v>
      </c>
      <c r="L71" s="1" t="s">
        <v>158</v>
      </c>
      <c r="M71" s="1" t="s">
        <v>42</v>
      </c>
      <c r="N71" s="1" t="s">
        <v>185</v>
      </c>
      <c r="P71" s="5">
        <v>0.0</v>
      </c>
      <c r="Q71" s="1">
        <v>0.0</v>
      </c>
      <c r="R71" s="1" t="s">
        <v>53</v>
      </c>
      <c r="S71" s="1" t="s">
        <v>54</v>
      </c>
      <c r="U71" s="1" t="s">
        <v>55</v>
      </c>
      <c r="V71" s="1">
        <v>0.0</v>
      </c>
      <c r="W71" s="1">
        <v>32.0</v>
      </c>
      <c r="X71" s="1">
        <v>32.0</v>
      </c>
      <c r="Y71" s="1" t="s">
        <v>78</v>
      </c>
      <c r="AA71" s="1" t="s">
        <v>38</v>
      </c>
      <c r="AB71" s="1">
        <v>0.0</v>
      </c>
      <c r="AC71" s="1">
        <v>0.0</v>
      </c>
      <c r="AD71" s="1">
        <v>0.0</v>
      </c>
      <c r="AE71" s="6">
        <v>0.375</v>
      </c>
      <c r="AF71" s="1" t="s">
        <v>39</v>
      </c>
    </row>
    <row r="72">
      <c r="B72" s="2">
        <v>46195.0</v>
      </c>
      <c r="C72" s="3">
        <v>0.4583333333333333</v>
      </c>
      <c r="D72" s="3">
        <v>0.4791666666666667</v>
      </c>
      <c r="E72" s="3">
        <v>0.4583333333333333</v>
      </c>
      <c r="F72" s="3">
        <v>0.475</v>
      </c>
      <c r="H72" s="1" t="s">
        <v>65</v>
      </c>
      <c r="J72" s="1" t="s">
        <v>32</v>
      </c>
      <c r="K72" s="4">
        <f>+52-34-81-76059</f>
        <v>-76122</v>
      </c>
      <c r="L72" s="1" t="s">
        <v>101</v>
      </c>
      <c r="M72" s="1" t="s">
        <v>59</v>
      </c>
      <c r="N72" s="1" t="s">
        <v>67</v>
      </c>
      <c r="P72" s="5">
        <v>28000.0</v>
      </c>
      <c r="Q72" s="1">
        <v>0.0</v>
      </c>
      <c r="R72" s="1" t="s">
        <v>45</v>
      </c>
      <c r="S72" s="1" t="s">
        <v>45</v>
      </c>
      <c r="U72" s="1" t="s">
        <v>55</v>
      </c>
      <c r="V72" s="1">
        <v>0.0</v>
      </c>
      <c r="W72" s="1">
        <v>24.0</v>
      </c>
      <c r="X72" s="1">
        <v>24.0</v>
      </c>
      <c r="Y72" s="1" t="s">
        <v>50</v>
      </c>
      <c r="AA72" s="1" t="s">
        <v>38</v>
      </c>
      <c r="AB72" s="1">
        <v>0.0</v>
      </c>
      <c r="AC72" s="1">
        <v>0.0</v>
      </c>
      <c r="AD72" s="1">
        <v>0.0</v>
      </c>
      <c r="AE72" s="6">
        <v>0.4583333333333333</v>
      </c>
      <c r="AF72" s="1" t="s">
        <v>39</v>
      </c>
    </row>
    <row r="73">
      <c r="B73" s="2">
        <v>46195.0</v>
      </c>
      <c r="C73" s="3">
        <v>0.375</v>
      </c>
      <c r="D73" s="3">
        <v>0.4166666666666667</v>
      </c>
      <c r="E73" s="3">
        <v>0.375</v>
      </c>
      <c r="F73" s="3">
        <v>0.4479166666666667</v>
      </c>
      <c r="G73" s="1">
        <v>2.27372385049E11</v>
      </c>
      <c r="H73" s="1" t="s">
        <v>186</v>
      </c>
      <c r="J73" s="1" t="s">
        <v>32</v>
      </c>
      <c r="K73" s="4">
        <f>+523223222977</f>
        <v>523223222977</v>
      </c>
      <c r="L73" s="1" t="s">
        <v>105</v>
      </c>
      <c r="M73" s="1" t="s">
        <v>48</v>
      </c>
      <c r="N73" s="1" t="s">
        <v>187</v>
      </c>
      <c r="P73" s="1">
        <v>0.0</v>
      </c>
      <c r="R73" s="1" t="s">
        <v>188</v>
      </c>
      <c r="S73" s="1" t="s">
        <v>188</v>
      </c>
      <c r="U73" s="1" t="s">
        <v>36</v>
      </c>
      <c r="V73" s="1">
        <v>0.0</v>
      </c>
      <c r="W73" s="1">
        <v>105.0</v>
      </c>
      <c r="X73" s="1">
        <v>105.0</v>
      </c>
      <c r="Y73" s="1" t="s">
        <v>50</v>
      </c>
      <c r="AA73" s="1" t="s">
        <v>38</v>
      </c>
      <c r="AB73" s="1">
        <v>0.0</v>
      </c>
      <c r="AC73" s="1">
        <v>0.0</v>
      </c>
      <c r="AD73" s="1">
        <v>0.0</v>
      </c>
      <c r="AE73" s="6">
        <v>0.375</v>
      </c>
      <c r="AF73" s="1" t="s">
        <v>39</v>
      </c>
    </row>
    <row r="74">
      <c r="B74" s="2">
        <v>46195.0</v>
      </c>
      <c r="C74" s="3">
        <v>0.3333333333333333</v>
      </c>
      <c r="D74" s="3">
        <v>0.3541666666666667</v>
      </c>
      <c r="E74" s="3">
        <v>0.3333333333333333</v>
      </c>
      <c r="F74" s="3">
        <v>0.3958333333333333</v>
      </c>
      <c r="H74" s="1" t="s">
        <v>189</v>
      </c>
      <c r="J74" s="1" t="s">
        <v>32</v>
      </c>
      <c r="K74" s="4" t="str">
        <f>+52 322 193 4653</f>
        <v>#ERROR!</v>
      </c>
      <c r="L74" s="1" t="s">
        <v>90</v>
      </c>
      <c r="M74" s="1" t="s">
        <v>87</v>
      </c>
      <c r="N74" s="1" t="s">
        <v>190</v>
      </c>
      <c r="P74" s="5">
        <v>14000.0</v>
      </c>
      <c r="Q74" s="1">
        <v>0.0</v>
      </c>
      <c r="R74" s="1" t="s">
        <v>53</v>
      </c>
      <c r="S74" s="1" t="s">
        <v>191</v>
      </c>
      <c r="U74" s="1" t="s">
        <v>55</v>
      </c>
      <c r="V74" s="1">
        <v>0.0</v>
      </c>
      <c r="W74" s="1">
        <v>90.0</v>
      </c>
      <c r="X74" s="1">
        <v>90.0</v>
      </c>
      <c r="Y74" s="1" t="s">
        <v>78</v>
      </c>
      <c r="AA74" s="1" t="s">
        <v>38</v>
      </c>
      <c r="AB74" s="1">
        <v>0.0</v>
      </c>
      <c r="AC74" s="1">
        <v>0.0</v>
      </c>
      <c r="AD74" s="1">
        <v>0.0</v>
      </c>
      <c r="AE74" s="6">
        <v>0.3333333333333333</v>
      </c>
      <c r="AF74" s="1" t="s">
        <v>39</v>
      </c>
    </row>
    <row r="75">
      <c r="B75" s="2">
        <v>46194.0</v>
      </c>
      <c r="C75" s="3">
        <v>0.375</v>
      </c>
      <c r="D75" s="3">
        <v>0.3958333333333333</v>
      </c>
      <c r="E75" s="3">
        <v>0.375</v>
      </c>
      <c r="F75" s="3">
        <v>0.3076388888888889</v>
      </c>
      <c r="H75" s="1" t="s">
        <v>192</v>
      </c>
      <c r="J75" s="1" t="s">
        <v>32</v>
      </c>
      <c r="K75" s="4" t="str">
        <f>+1 5099693896</f>
        <v>#ERROR!</v>
      </c>
      <c r="L75" s="1" t="s">
        <v>90</v>
      </c>
      <c r="M75" s="1" t="s">
        <v>87</v>
      </c>
      <c r="N75" s="1" t="s">
        <v>193</v>
      </c>
      <c r="P75" s="5">
        <v>-27000.0</v>
      </c>
      <c r="Q75" s="1">
        <v>0.0</v>
      </c>
      <c r="R75" s="1" t="s">
        <v>53</v>
      </c>
      <c r="S75" s="1" t="s">
        <v>194</v>
      </c>
      <c r="U75" s="1" t="s">
        <v>55</v>
      </c>
      <c r="V75" s="1">
        <v>0.0</v>
      </c>
      <c r="W75" s="1">
        <v>-97.0</v>
      </c>
      <c r="X75" s="1">
        <v>-97.0</v>
      </c>
      <c r="Y75" s="1" t="s">
        <v>78</v>
      </c>
      <c r="AA75" s="1" t="s">
        <v>64</v>
      </c>
      <c r="AB75" s="1">
        <v>0.0</v>
      </c>
      <c r="AC75" s="1">
        <v>0.0</v>
      </c>
      <c r="AD75" s="1">
        <v>0.0</v>
      </c>
      <c r="AE75" s="6">
        <v>0.375</v>
      </c>
      <c r="AF75" s="1" t="s">
        <v>39</v>
      </c>
    </row>
    <row r="76">
      <c r="B76" s="2">
        <v>46193.0</v>
      </c>
      <c r="C76" s="3">
        <v>0.5416666666666666</v>
      </c>
      <c r="D76" s="3">
        <v>0.5694444444444444</v>
      </c>
      <c r="E76" s="3"/>
      <c r="F76" s="3"/>
      <c r="H76" s="1" t="s">
        <v>195</v>
      </c>
      <c r="J76" s="1" t="s">
        <v>32</v>
      </c>
      <c r="K76" s="1">
        <v>3.313461247E9</v>
      </c>
      <c r="L76" s="1" t="s">
        <v>196</v>
      </c>
      <c r="M76" s="1" t="s">
        <v>59</v>
      </c>
      <c r="P76" s="1">
        <v>0.0</v>
      </c>
      <c r="Q76" s="1">
        <v>0.0</v>
      </c>
      <c r="R76" s="1" t="s">
        <v>122</v>
      </c>
      <c r="S76" s="1" t="s">
        <v>122</v>
      </c>
      <c r="U76" s="1" t="s">
        <v>55</v>
      </c>
      <c r="V76" s="1">
        <v>0.0</v>
      </c>
      <c r="W76" s="1">
        <v>0.0</v>
      </c>
      <c r="X76" s="1">
        <v>0.0</v>
      </c>
      <c r="Y76" s="1" t="s">
        <v>56</v>
      </c>
      <c r="AA76" s="1" t="s">
        <v>38</v>
      </c>
      <c r="AB76" s="1">
        <v>0.0</v>
      </c>
      <c r="AC76" s="1">
        <v>0.0</v>
      </c>
      <c r="AD76" s="1">
        <v>0.0</v>
      </c>
      <c r="AE76" s="6">
        <v>0.0</v>
      </c>
      <c r="AF76" s="1" t="s">
        <v>39</v>
      </c>
    </row>
    <row r="77">
      <c r="B77" s="2">
        <v>46193.0</v>
      </c>
      <c r="C77" s="3">
        <v>0.5173611111111112</v>
      </c>
      <c r="D77" s="3">
        <v>0.5277777777777778</v>
      </c>
      <c r="E77" s="3">
        <v>0.5173611111111112</v>
      </c>
      <c r="F77" s="3">
        <v>0.5104166666666666</v>
      </c>
      <c r="G77" s="7">
        <v>2.28954680637E11</v>
      </c>
      <c r="H77" s="1" t="s">
        <v>140</v>
      </c>
      <c r="J77" s="1" t="s">
        <v>32</v>
      </c>
      <c r="K77" s="4">
        <f>+5213271027642</f>
        <v>5213271027642</v>
      </c>
      <c r="L77" s="1" t="s">
        <v>97</v>
      </c>
      <c r="M77" s="1" t="s">
        <v>42</v>
      </c>
      <c r="N77" s="1" t="s">
        <v>197</v>
      </c>
      <c r="P77" s="1">
        <v>0.0</v>
      </c>
      <c r="Q77" s="1">
        <v>0.0</v>
      </c>
      <c r="R77" s="1" t="s">
        <v>44</v>
      </c>
      <c r="S77" s="1" t="s">
        <v>62</v>
      </c>
      <c r="U77" s="1" t="s">
        <v>36</v>
      </c>
      <c r="V77" s="1">
        <v>0.0</v>
      </c>
      <c r="W77" s="1">
        <v>-10.0</v>
      </c>
      <c r="X77" s="1">
        <v>-10.0</v>
      </c>
      <c r="Y77" s="1" t="s">
        <v>56</v>
      </c>
      <c r="AA77" s="1" t="s">
        <v>38</v>
      </c>
      <c r="AB77" s="1">
        <v>0.0</v>
      </c>
      <c r="AC77" s="1">
        <v>0.0</v>
      </c>
      <c r="AD77" s="1">
        <v>0.0</v>
      </c>
      <c r="AE77" s="6">
        <v>0.5173611111111112</v>
      </c>
      <c r="AF77" s="1" t="s">
        <v>39</v>
      </c>
    </row>
    <row r="78">
      <c r="B78" s="2">
        <v>46193.0</v>
      </c>
      <c r="C78" s="3">
        <v>0.5</v>
      </c>
      <c r="D78" s="3">
        <v>0.5104166666666666</v>
      </c>
      <c r="E78" s="3">
        <v>0.5</v>
      </c>
      <c r="F78" s="3">
        <v>0.5104166666666666</v>
      </c>
      <c r="G78" s="1">
        <v>2.28878500988E11</v>
      </c>
      <c r="H78" s="1" t="s">
        <v>138</v>
      </c>
      <c r="J78" s="1" t="s">
        <v>32</v>
      </c>
      <c r="K78" s="4">
        <f>+5213332360111</f>
        <v>5213332360111</v>
      </c>
      <c r="L78" s="1" t="s">
        <v>97</v>
      </c>
      <c r="M78" s="1" t="s">
        <v>42</v>
      </c>
      <c r="N78" s="1" t="s">
        <v>139</v>
      </c>
      <c r="P78" s="5">
        <v>0.0</v>
      </c>
      <c r="Q78" s="1">
        <v>0.0</v>
      </c>
      <c r="R78" s="1" t="s">
        <v>44</v>
      </c>
      <c r="S78" s="1" t="s">
        <v>70</v>
      </c>
      <c r="U78" s="1" t="s">
        <v>36</v>
      </c>
      <c r="V78" s="1">
        <v>0.0</v>
      </c>
      <c r="W78" s="1">
        <v>15.0</v>
      </c>
      <c r="X78" s="1">
        <v>15.0</v>
      </c>
      <c r="Y78" s="1" t="s">
        <v>56</v>
      </c>
      <c r="AA78" s="1" t="s">
        <v>38</v>
      </c>
      <c r="AB78" s="1">
        <v>0.0</v>
      </c>
      <c r="AC78" s="1">
        <v>0.0</v>
      </c>
      <c r="AD78" s="1">
        <v>0.0</v>
      </c>
      <c r="AE78" s="6">
        <v>0.5</v>
      </c>
      <c r="AF78" s="1" t="s">
        <v>39</v>
      </c>
    </row>
    <row r="79">
      <c r="B79" s="2">
        <v>46193.0</v>
      </c>
      <c r="C79" s="3">
        <v>0.3333333333333333</v>
      </c>
      <c r="D79" s="3">
        <v>0.3541666666666667</v>
      </c>
      <c r="E79" s="3">
        <v>0.3333333333333333</v>
      </c>
      <c r="F79" s="3">
        <v>0.3375</v>
      </c>
      <c r="H79" s="1" t="s">
        <v>198</v>
      </c>
      <c r="J79" s="1" t="s">
        <v>32</v>
      </c>
      <c r="K79" s="4" t="str">
        <f>+1  971  716 0195</f>
        <v>#ERROR!</v>
      </c>
      <c r="L79" s="1" t="s">
        <v>90</v>
      </c>
      <c r="M79" s="1" t="s">
        <v>87</v>
      </c>
      <c r="N79" s="1" t="s">
        <v>199</v>
      </c>
      <c r="P79" s="5">
        <v>-27000.0</v>
      </c>
      <c r="Q79" s="1">
        <v>0.0</v>
      </c>
      <c r="R79" s="1" t="s">
        <v>53</v>
      </c>
      <c r="S79" s="1" t="s">
        <v>125</v>
      </c>
      <c r="U79" s="1" t="s">
        <v>55</v>
      </c>
      <c r="V79" s="1">
        <v>0.0</v>
      </c>
      <c r="W79" s="1">
        <v>6.0</v>
      </c>
      <c r="X79" s="1">
        <v>6.0</v>
      </c>
      <c r="Y79" s="1" t="s">
        <v>78</v>
      </c>
      <c r="AA79" s="1" t="s">
        <v>64</v>
      </c>
      <c r="AB79" s="1">
        <v>0.0</v>
      </c>
      <c r="AC79" s="1">
        <v>0.0</v>
      </c>
      <c r="AD79" s="1">
        <v>0.0</v>
      </c>
      <c r="AE79" s="6">
        <v>0.3333333333333333</v>
      </c>
      <c r="AF79" s="1" t="s">
        <v>39</v>
      </c>
    </row>
    <row r="80">
      <c r="B80" s="2">
        <v>46193.0</v>
      </c>
      <c r="C80" s="3">
        <v>0.4583333333333333</v>
      </c>
      <c r="D80" s="3">
        <v>0.5</v>
      </c>
      <c r="E80" s="3">
        <v>0.4583333333333333</v>
      </c>
      <c r="F80" s="3">
        <v>0.4930555555555556</v>
      </c>
      <c r="G80" s="1">
        <v>2.29515132477E11</v>
      </c>
      <c r="H80" s="1" t="s">
        <v>200</v>
      </c>
      <c r="J80" s="1" t="s">
        <v>32</v>
      </c>
      <c r="K80" s="4">
        <f>+523314641109</f>
        <v>523314641109</v>
      </c>
      <c r="L80" s="1" t="s">
        <v>105</v>
      </c>
      <c r="M80" s="1" t="s">
        <v>48</v>
      </c>
      <c r="N80" s="1" t="s">
        <v>201</v>
      </c>
      <c r="P80" s="1">
        <v>0.0</v>
      </c>
      <c r="R80" s="1" t="s">
        <v>62</v>
      </c>
      <c r="S80" s="1" t="s">
        <v>62</v>
      </c>
      <c r="U80" s="1" t="s">
        <v>36</v>
      </c>
      <c r="V80" s="1">
        <v>14.0</v>
      </c>
      <c r="W80" s="1">
        <v>36.0</v>
      </c>
      <c r="X80" s="1">
        <v>50.0</v>
      </c>
      <c r="Y80" s="1" t="s">
        <v>50</v>
      </c>
      <c r="AA80" s="1" t="s">
        <v>38</v>
      </c>
      <c r="AB80" s="1">
        <v>0.0</v>
      </c>
      <c r="AC80" s="1">
        <v>0.0</v>
      </c>
      <c r="AD80" s="1">
        <v>0.0</v>
      </c>
      <c r="AE80" s="6">
        <v>0.46805555555555556</v>
      </c>
      <c r="AF80" s="1" t="s">
        <v>39</v>
      </c>
    </row>
    <row r="81">
      <c r="B81" s="2">
        <v>46193.0</v>
      </c>
      <c r="C81" s="3">
        <v>0.5</v>
      </c>
      <c r="D81" s="3">
        <v>0.5416666666666666</v>
      </c>
      <c r="E81" s="3">
        <v>0.5</v>
      </c>
      <c r="F81" s="3">
        <v>0.5118055555555555</v>
      </c>
      <c r="G81" s="1">
        <v>2.28954680637E11</v>
      </c>
      <c r="H81" s="1" t="s">
        <v>140</v>
      </c>
      <c r="J81" s="1" t="s">
        <v>32</v>
      </c>
      <c r="K81" s="4">
        <f>+5213271027642</f>
        <v>5213271027642</v>
      </c>
      <c r="L81" s="1" t="s">
        <v>47</v>
      </c>
      <c r="M81" s="1" t="s">
        <v>48</v>
      </c>
      <c r="N81" s="1" t="s">
        <v>67</v>
      </c>
      <c r="P81" s="5">
        <v>0.0</v>
      </c>
      <c r="Q81" s="1">
        <v>0.0</v>
      </c>
      <c r="R81" s="1" t="s">
        <v>62</v>
      </c>
      <c r="S81" s="1" t="s">
        <v>62</v>
      </c>
      <c r="U81" s="1" t="s">
        <v>36</v>
      </c>
      <c r="V81" s="1">
        <v>0.0</v>
      </c>
      <c r="W81" s="1">
        <v>17.0</v>
      </c>
      <c r="X81" s="1">
        <v>17.0</v>
      </c>
      <c r="Y81" s="1" t="s">
        <v>50</v>
      </c>
      <c r="AA81" s="1" t="s">
        <v>38</v>
      </c>
      <c r="AB81" s="1">
        <v>0.0</v>
      </c>
      <c r="AC81" s="1">
        <v>0.0</v>
      </c>
      <c r="AD81" s="1">
        <v>0.0</v>
      </c>
      <c r="AE81" s="6">
        <v>0.5</v>
      </c>
      <c r="AF81" s="1" t="s">
        <v>39</v>
      </c>
    </row>
    <row r="82">
      <c r="B82" s="2">
        <v>46193.0</v>
      </c>
      <c r="C82" s="3">
        <v>0.5</v>
      </c>
      <c r="D82" s="3">
        <v>0.5416666666666666</v>
      </c>
      <c r="E82" s="3">
        <v>0.5</v>
      </c>
      <c r="F82" s="3">
        <v>0.5118055555555555</v>
      </c>
      <c r="G82" s="1">
        <v>2.28878500988E11</v>
      </c>
      <c r="H82" s="1" t="s">
        <v>138</v>
      </c>
      <c r="J82" s="1" t="s">
        <v>32</v>
      </c>
      <c r="K82" s="4">
        <f>+5213332360111</f>
        <v>5213332360111</v>
      </c>
      <c r="L82" s="1" t="s">
        <v>47</v>
      </c>
      <c r="M82" s="1" t="s">
        <v>48</v>
      </c>
      <c r="N82" s="1" t="s">
        <v>202</v>
      </c>
      <c r="P82" s="1">
        <v>0.0</v>
      </c>
      <c r="Q82" s="1">
        <v>0.0</v>
      </c>
      <c r="R82" s="1" t="s">
        <v>70</v>
      </c>
      <c r="S82" s="1" t="s">
        <v>70</v>
      </c>
      <c r="U82" s="1" t="s">
        <v>36</v>
      </c>
      <c r="V82" s="1">
        <v>0.0</v>
      </c>
      <c r="W82" s="1">
        <v>17.0</v>
      </c>
      <c r="X82" s="1">
        <v>17.0</v>
      </c>
      <c r="Y82" s="1" t="s">
        <v>50</v>
      </c>
      <c r="AA82" s="1" t="s">
        <v>38</v>
      </c>
      <c r="AB82" s="1">
        <v>0.0</v>
      </c>
      <c r="AC82" s="1">
        <v>0.0</v>
      </c>
      <c r="AD82" s="1">
        <v>0.0</v>
      </c>
      <c r="AE82" s="6">
        <v>0.5</v>
      </c>
      <c r="AF82" s="1" t="s">
        <v>39</v>
      </c>
    </row>
    <row r="83">
      <c r="B83" s="2">
        <v>46193.0</v>
      </c>
      <c r="C83" s="3">
        <v>0.4652777777777778</v>
      </c>
      <c r="D83" s="3">
        <v>0.4722222222222222</v>
      </c>
      <c r="E83" s="3">
        <v>0.4652777777777778</v>
      </c>
      <c r="F83" s="3">
        <v>0.46458333333333335</v>
      </c>
      <c r="G83" s="1">
        <v>2.2643961378E11</v>
      </c>
      <c r="H83" s="1" t="s">
        <v>92</v>
      </c>
      <c r="J83" s="1" t="s">
        <v>32</v>
      </c>
      <c r="K83" s="4">
        <f>+523316048468</f>
        <v>523316048468</v>
      </c>
      <c r="L83" s="1" t="s">
        <v>41</v>
      </c>
      <c r="M83" s="1" t="s">
        <v>42</v>
      </c>
      <c r="N83" s="1" t="s">
        <v>203</v>
      </c>
      <c r="P83" s="1">
        <v>0.0</v>
      </c>
      <c r="R83" s="1" t="s">
        <v>44</v>
      </c>
      <c r="S83" s="1" t="s">
        <v>70</v>
      </c>
      <c r="U83" s="1" t="s">
        <v>36</v>
      </c>
      <c r="V83" s="1">
        <v>0.0</v>
      </c>
      <c r="W83" s="1">
        <v>-1.0</v>
      </c>
      <c r="X83" s="1">
        <v>-1.0</v>
      </c>
      <c r="Y83" s="1" t="s">
        <v>37</v>
      </c>
      <c r="AA83" s="1" t="s">
        <v>38</v>
      </c>
      <c r="AB83" s="1">
        <v>0.0</v>
      </c>
      <c r="AC83" s="1">
        <v>0.0</v>
      </c>
      <c r="AD83" s="1">
        <v>0.0</v>
      </c>
      <c r="AE83" s="6">
        <v>0.4652777777777778</v>
      </c>
      <c r="AF83" s="1" t="s">
        <v>39</v>
      </c>
    </row>
    <row r="84">
      <c r="B84" s="2">
        <v>46193.0</v>
      </c>
      <c r="C84" s="3">
        <v>0.4583333333333333</v>
      </c>
      <c r="D84" s="3">
        <v>0.5</v>
      </c>
      <c r="E84" s="3">
        <v>0.4583333333333333</v>
      </c>
      <c r="F84" s="3">
        <v>0.4930555555555556</v>
      </c>
      <c r="G84" s="7">
        <v>2.28805086056207E22</v>
      </c>
      <c r="H84" s="1" t="s">
        <v>204</v>
      </c>
      <c r="J84" s="1" t="s">
        <v>32</v>
      </c>
      <c r="K84" s="4">
        <f>+523318692026</f>
        <v>523318692026</v>
      </c>
      <c r="L84" s="1" t="s">
        <v>205</v>
      </c>
      <c r="M84" s="1" t="s">
        <v>48</v>
      </c>
      <c r="N84" s="1" t="s">
        <v>206</v>
      </c>
      <c r="P84" s="1">
        <v>0.0</v>
      </c>
      <c r="Q84" s="1">
        <v>0.0</v>
      </c>
      <c r="R84" s="1" t="s">
        <v>35</v>
      </c>
      <c r="S84" s="1" t="s">
        <v>35</v>
      </c>
      <c r="U84" s="1" t="s">
        <v>36</v>
      </c>
      <c r="V84" s="1">
        <v>14.0</v>
      </c>
      <c r="W84" s="1">
        <v>36.0</v>
      </c>
      <c r="X84" s="1">
        <v>50.0</v>
      </c>
      <c r="Y84" s="1" t="s">
        <v>50</v>
      </c>
      <c r="AA84" s="1" t="s">
        <v>38</v>
      </c>
      <c r="AB84" s="1">
        <v>0.0</v>
      </c>
      <c r="AC84" s="1">
        <v>0.0</v>
      </c>
      <c r="AD84" s="1">
        <v>0.0</v>
      </c>
      <c r="AE84" s="6">
        <v>0.46805555555555556</v>
      </c>
      <c r="AF84" s="1" t="s">
        <v>39</v>
      </c>
    </row>
    <row r="85">
      <c r="B85" s="2">
        <v>46193.0</v>
      </c>
      <c r="C85" s="3">
        <v>0.5694444444444444</v>
      </c>
      <c r="D85" s="3">
        <v>0.5798611111111112</v>
      </c>
      <c r="E85" s="3">
        <v>0.5694444444444444</v>
      </c>
      <c r="F85" s="3">
        <v>0.65625</v>
      </c>
      <c r="H85" s="1" t="s">
        <v>195</v>
      </c>
      <c r="J85" s="1" t="s">
        <v>32</v>
      </c>
      <c r="K85" s="1">
        <v>3.313461247E9</v>
      </c>
      <c r="L85" s="1" t="s">
        <v>33</v>
      </c>
      <c r="M85" s="1" t="s">
        <v>34</v>
      </c>
      <c r="N85" s="1" t="s">
        <v>207</v>
      </c>
      <c r="P85" s="5">
        <v>0.0</v>
      </c>
      <c r="Q85" s="1">
        <v>0.0</v>
      </c>
      <c r="R85" s="1" t="s">
        <v>122</v>
      </c>
      <c r="S85" s="1" t="s">
        <v>122</v>
      </c>
      <c r="U85" s="1" t="s">
        <v>55</v>
      </c>
      <c r="V85" s="1">
        <v>0.0</v>
      </c>
      <c r="W85" s="1">
        <v>125.0</v>
      </c>
      <c r="X85" s="1">
        <v>125.0</v>
      </c>
      <c r="Y85" s="1" t="s">
        <v>56</v>
      </c>
      <c r="AA85" s="1" t="s">
        <v>38</v>
      </c>
      <c r="AB85" s="1">
        <v>0.0</v>
      </c>
      <c r="AC85" s="1">
        <v>0.0</v>
      </c>
      <c r="AD85" s="1">
        <v>0.0</v>
      </c>
      <c r="AE85" s="6">
        <v>0.5694444444444444</v>
      </c>
      <c r="AF85" s="1" t="s">
        <v>39</v>
      </c>
    </row>
    <row r="86">
      <c r="B86" s="2">
        <v>46193.0</v>
      </c>
      <c r="C86" s="3">
        <v>0.375</v>
      </c>
      <c r="D86" s="3">
        <v>0.4166666666666667</v>
      </c>
      <c r="E86" s="3">
        <v>0.375</v>
      </c>
      <c r="F86" s="3">
        <v>0.4</v>
      </c>
      <c r="G86" s="1">
        <v>7.8822350463E10</v>
      </c>
      <c r="H86" s="1" t="s">
        <v>208</v>
      </c>
      <c r="J86" s="1" t="s">
        <v>32</v>
      </c>
      <c r="K86" s="4">
        <f>+5213315386133</f>
        <v>5213315386133</v>
      </c>
      <c r="L86" s="1" t="s">
        <v>205</v>
      </c>
      <c r="M86" s="1" t="s">
        <v>48</v>
      </c>
      <c r="N86" s="1" t="s">
        <v>209</v>
      </c>
      <c r="P86" s="1">
        <v>0.0</v>
      </c>
      <c r="Q86" s="1">
        <v>0.0</v>
      </c>
      <c r="R86" s="1" t="s">
        <v>35</v>
      </c>
      <c r="S86" s="1" t="s">
        <v>35</v>
      </c>
      <c r="U86" s="1" t="s">
        <v>36</v>
      </c>
      <c r="V86" s="1">
        <v>0.0</v>
      </c>
      <c r="W86" s="1">
        <v>36.0</v>
      </c>
      <c r="X86" s="1">
        <v>36.0</v>
      </c>
      <c r="Y86" s="1" t="s">
        <v>81</v>
      </c>
      <c r="AA86" s="1" t="s">
        <v>38</v>
      </c>
      <c r="AB86" s="1">
        <v>0.0</v>
      </c>
      <c r="AC86" s="1">
        <v>0.0</v>
      </c>
      <c r="AD86" s="1">
        <v>0.0</v>
      </c>
      <c r="AE86" s="6">
        <v>0.375</v>
      </c>
      <c r="AF86" s="1" t="s">
        <v>39</v>
      </c>
    </row>
    <row r="87">
      <c r="B87" s="2">
        <v>46193.0</v>
      </c>
      <c r="C87" s="3">
        <v>0.3333333333333333</v>
      </c>
      <c r="D87" s="3">
        <v>0.375</v>
      </c>
      <c r="E87" s="3">
        <v>0.3333333333333333</v>
      </c>
      <c r="F87" s="3">
        <v>0.33958333333333335</v>
      </c>
      <c r="G87" s="7">
        <v>2.23485564313E11</v>
      </c>
      <c r="H87" s="1" t="s">
        <v>143</v>
      </c>
      <c r="J87" s="1" t="s">
        <v>32</v>
      </c>
      <c r="K87" s="4">
        <f>+523335035838</f>
        <v>523335035838</v>
      </c>
      <c r="L87" s="1" t="s">
        <v>83</v>
      </c>
      <c r="M87" s="1" t="s">
        <v>48</v>
      </c>
      <c r="N87" s="1" t="s">
        <v>210</v>
      </c>
      <c r="P87" s="1">
        <v>0.0</v>
      </c>
      <c r="R87" s="1" t="s">
        <v>35</v>
      </c>
      <c r="S87" s="1" t="s">
        <v>35</v>
      </c>
      <c r="U87" s="1" t="s">
        <v>36</v>
      </c>
      <c r="V87" s="1">
        <v>0.0</v>
      </c>
      <c r="W87" s="1">
        <v>9.0</v>
      </c>
      <c r="X87" s="1">
        <v>9.0</v>
      </c>
      <c r="Y87" s="1" t="s">
        <v>50</v>
      </c>
      <c r="AA87" s="1" t="s">
        <v>38</v>
      </c>
      <c r="AB87" s="1">
        <v>1.0</v>
      </c>
      <c r="AC87" s="1">
        <v>0.0</v>
      </c>
      <c r="AD87" s="1">
        <v>0.0</v>
      </c>
      <c r="AE87" s="6">
        <v>0.3333333333333333</v>
      </c>
      <c r="AF87" s="1" t="s">
        <v>39</v>
      </c>
    </row>
    <row r="88">
      <c r="B88" s="2">
        <v>46192.0</v>
      </c>
      <c r="C88" s="3">
        <v>0.4375</v>
      </c>
      <c r="D88" s="3">
        <v>0.4583333333333333</v>
      </c>
      <c r="E88" s="3">
        <v>0.4375</v>
      </c>
      <c r="F88" s="3">
        <v>0.45902777777777776</v>
      </c>
      <c r="G88" s="1">
        <v>1.22822030101E11</v>
      </c>
      <c r="H88" s="1" t="s">
        <v>96</v>
      </c>
      <c r="J88" s="1" t="s">
        <v>32</v>
      </c>
      <c r="K88" s="1">
        <v>9.167431507E9</v>
      </c>
      <c r="L88" s="1" t="s">
        <v>66</v>
      </c>
      <c r="M88" s="1" t="s">
        <v>34</v>
      </c>
      <c r="N88" s="1" t="s">
        <v>67</v>
      </c>
      <c r="P88" s="5">
        <v>15187.5</v>
      </c>
      <c r="R88" s="1" t="s">
        <v>45</v>
      </c>
      <c r="S88" s="1" t="s">
        <v>45</v>
      </c>
      <c r="U88" s="1" t="s">
        <v>55</v>
      </c>
      <c r="V88" s="1">
        <v>0.0</v>
      </c>
      <c r="W88" s="1">
        <v>31.0</v>
      </c>
      <c r="X88" s="1">
        <v>31.0</v>
      </c>
      <c r="Y88" s="1" t="s">
        <v>50</v>
      </c>
      <c r="AB88" s="1">
        <v>0.0</v>
      </c>
      <c r="AC88" s="1">
        <v>0.0</v>
      </c>
      <c r="AD88" s="1">
        <v>0.0</v>
      </c>
      <c r="AE88" s="6">
        <v>0.4375</v>
      </c>
      <c r="AF88" s="1" t="s">
        <v>39</v>
      </c>
    </row>
    <row r="89">
      <c r="B89" s="2">
        <v>46192.0</v>
      </c>
      <c r="C89" s="3">
        <v>0.5</v>
      </c>
      <c r="D89" s="3">
        <v>0.5104166666666666</v>
      </c>
      <c r="E89" s="3">
        <v>0.5</v>
      </c>
      <c r="F89" s="3">
        <v>0.48125</v>
      </c>
      <c r="G89" s="1">
        <v>2.28561444478E11</v>
      </c>
      <c r="H89" s="1" t="s">
        <v>211</v>
      </c>
      <c r="J89" s="1" t="s">
        <v>32</v>
      </c>
      <c r="K89" s="4">
        <f>+5216673042062</f>
        <v>5216673042062</v>
      </c>
      <c r="L89" s="1" t="s">
        <v>33</v>
      </c>
      <c r="M89" s="1" t="s">
        <v>34</v>
      </c>
      <c r="N89" s="1" t="s">
        <v>212</v>
      </c>
      <c r="P89" s="1">
        <v>0.0</v>
      </c>
      <c r="R89" s="1" t="s">
        <v>70</v>
      </c>
      <c r="S89" s="1" t="s">
        <v>70</v>
      </c>
      <c r="U89" s="1" t="s">
        <v>36</v>
      </c>
      <c r="V89" s="1">
        <v>0.0</v>
      </c>
      <c r="W89" s="1">
        <v>-27.0</v>
      </c>
      <c r="X89" s="1">
        <v>-27.0</v>
      </c>
      <c r="Y89" s="1" t="s">
        <v>37</v>
      </c>
      <c r="AA89" s="1" t="s">
        <v>38</v>
      </c>
      <c r="AB89" s="1">
        <v>0.0</v>
      </c>
      <c r="AC89" s="1">
        <v>0.0</v>
      </c>
      <c r="AD89" s="1">
        <v>0.0</v>
      </c>
      <c r="AE89" s="6">
        <v>0.5</v>
      </c>
      <c r="AF89" s="1" t="s">
        <v>39</v>
      </c>
    </row>
    <row r="90">
      <c r="B90" s="2">
        <v>46192.0</v>
      </c>
      <c r="C90" s="3">
        <v>0.375</v>
      </c>
      <c r="D90" s="3">
        <v>0.3958333333333333</v>
      </c>
      <c r="E90" s="3">
        <v>0.375</v>
      </c>
      <c r="F90" s="3">
        <v>0.39375</v>
      </c>
      <c r="G90" s="1">
        <v>2.08377036386E11</v>
      </c>
      <c r="H90" s="1" t="s">
        <v>161</v>
      </c>
      <c r="J90" s="1" t="s">
        <v>32</v>
      </c>
      <c r="K90" s="4">
        <f t="shared" ref="K90:K91" si="3">+523326153847</f>
        <v>523326153847</v>
      </c>
      <c r="L90" s="1" t="s">
        <v>90</v>
      </c>
      <c r="M90" s="1" t="s">
        <v>87</v>
      </c>
      <c r="P90" s="1">
        <v>0.0</v>
      </c>
      <c r="Q90" s="1">
        <v>0.0</v>
      </c>
      <c r="R90" s="1" t="s">
        <v>70</v>
      </c>
      <c r="S90" s="1" t="s">
        <v>70</v>
      </c>
      <c r="U90" s="1" t="s">
        <v>55</v>
      </c>
      <c r="V90" s="1">
        <v>-36.0</v>
      </c>
      <c r="W90" s="1">
        <v>63.0</v>
      </c>
      <c r="X90" s="1">
        <v>27.0</v>
      </c>
      <c r="Y90" s="1" t="s">
        <v>56</v>
      </c>
      <c r="AA90" s="1" t="s">
        <v>38</v>
      </c>
      <c r="AB90" s="1">
        <v>0.0</v>
      </c>
      <c r="AC90" s="1">
        <v>0.0</v>
      </c>
      <c r="AD90" s="1">
        <v>0.0</v>
      </c>
      <c r="AE90" s="6">
        <v>0.35</v>
      </c>
      <c r="AF90" s="1" t="s">
        <v>39</v>
      </c>
    </row>
    <row r="91">
      <c r="B91" s="2">
        <v>46192.0</v>
      </c>
      <c r="C91" s="3">
        <v>0.375</v>
      </c>
      <c r="D91" s="3">
        <v>0.3958333333333333</v>
      </c>
      <c r="E91" s="3">
        <v>0.375</v>
      </c>
      <c r="F91" s="3">
        <v>0.39375</v>
      </c>
      <c r="G91" s="1">
        <v>2.08377036386E11</v>
      </c>
      <c r="H91" s="1" t="s">
        <v>161</v>
      </c>
      <c r="J91" s="1" t="s">
        <v>32</v>
      </c>
      <c r="K91" s="4">
        <f t="shared" si="3"/>
        <v>523326153847</v>
      </c>
      <c r="L91" s="1" t="s">
        <v>90</v>
      </c>
      <c r="M91" s="1" t="s">
        <v>87</v>
      </c>
      <c r="P91" s="1">
        <v>0.0</v>
      </c>
      <c r="Q91" s="1">
        <v>0.0</v>
      </c>
      <c r="R91" s="1" t="s">
        <v>53</v>
      </c>
      <c r="S91" s="1" t="s">
        <v>70</v>
      </c>
      <c r="U91" s="1" t="s">
        <v>55</v>
      </c>
      <c r="V91" s="1">
        <v>-36.0</v>
      </c>
      <c r="W91" s="1">
        <v>63.0</v>
      </c>
      <c r="X91" s="1">
        <v>27.0</v>
      </c>
      <c r="Y91" s="1" t="s">
        <v>56</v>
      </c>
      <c r="AA91" s="1" t="s">
        <v>38</v>
      </c>
      <c r="AB91" s="1">
        <v>0.0</v>
      </c>
      <c r="AC91" s="1">
        <v>0.0</v>
      </c>
      <c r="AD91" s="1">
        <v>0.0</v>
      </c>
      <c r="AE91" s="6">
        <v>0.35</v>
      </c>
      <c r="AF91" s="1" t="s">
        <v>39</v>
      </c>
    </row>
    <row r="92">
      <c r="B92" s="2">
        <v>46192.0</v>
      </c>
      <c r="C92" s="3">
        <v>0.3541666666666667</v>
      </c>
      <c r="D92" s="3">
        <v>0.375</v>
      </c>
      <c r="E92" s="3">
        <v>0.3541666666666667</v>
      </c>
      <c r="F92" s="3">
        <v>0.38333333333333336</v>
      </c>
      <c r="G92" s="1">
        <v>1.64157311103E11</v>
      </c>
      <c r="H92" s="1" t="s">
        <v>163</v>
      </c>
      <c r="J92" s="1" t="s">
        <v>32</v>
      </c>
      <c r="K92" s="4">
        <f>+523314665402</f>
        <v>523314665402</v>
      </c>
      <c r="L92" s="1" t="s">
        <v>66</v>
      </c>
      <c r="M92" s="1" t="s">
        <v>34</v>
      </c>
      <c r="N92" s="1" t="s">
        <v>67</v>
      </c>
      <c r="P92" s="1">
        <v>0.0</v>
      </c>
      <c r="Q92" s="1">
        <v>0.0</v>
      </c>
      <c r="R92" s="1" t="s">
        <v>45</v>
      </c>
      <c r="S92" s="1" t="s">
        <v>45</v>
      </c>
      <c r="U92" s="1" t="s">
        <v>164</v>
      </c>
      <c r="V92" s="1">
        <v>9.0</v>
      </c>
      <c r="W92" s="1">
        <v>33.0</v>
      </c>
      <c r="X92" s="1">
        <v>42.0</v>
      </c>
      <c r="Y92" s="1" t="s">
        <v>50</v>
      </c>
      <c r="AA92" s="1" t="s">
        <v>38</v>
      </c>
      <c r="AB92" s="1">
        <v>0.0</v>
      </c>
      <c r="AC92" s="1">
        <v>0.0</v>
      </c>
      <c r="AD92" s="1">
        <v>0.0</v>
      </c>
      <c r="AE92" s="6">
        <v>0.36041666666666666</v>
      </c>
      <c r="AF92" s="1" t="s">
        <v>39</v>
      </c>
    </row>
    <row r="93">
      <c r="B93" s="2">
        <v>46192.0</v>
      </c>
      <c r="C93" s="3">
        <v>0.6041666666666666</v>
      </c>
      <c r="D93" s="3">
        <v>0.6111111111111112</v>
      </c>
      <c r="E93" s="3">
        <v>0.6041666666666666</v>
      </c>
      <c r="F93" s="3">
        <v>0.625</v>
      </c>
      <c r="H93" s="1" t="s">
        <v>213</v>
      </c>
      <c r="J93" s="1" t="s">
        <v>32</v>
      </c>
      <c r="K93" s="1">
        <v>5.29999944481E11</v>
      </c>
      <c r="L93" s="1" t="s">
        <v>41</v>
      </c>
      <c r="M93" s="1" t="s">
        <v>42</v>
      </c>
      <c r="N93" s="1" t="s">
        <v>214</v>
      </c>
      <c r="P93" s="1">
        <v>0.0</v>
      </c>
      <c r="Q93" s="1">
        <v>0.0</v>
      </c>
      <c r="R93" s="1" t="s">
        <v>44</v>
      </c>
      <c r="S93" s="1" t="s">
        <v>35</v>
      </c>
      <c r="U93" s="1" t="s">
        <v>55</v>
      </c>
      <c r="V93" s="1">
        <v>0.0</v>
      </c>
      <c r="W93" s="1">
        <v>30.0</v>
      </c>
      <c r="X93" s="1">
        <v>30.0</v>
      </c>
      <c r="Y93" s="1" t="s">
        <v>46</v>
      </c>
      <c r="AA93" s="1" t="s">
        <v>38</v>
      </c>
      <c r="AB93" s="1">
        <v>0.0</v>
      </c>
      <c r="AC93" s="1">
        <v>0.0</v>
      </c>
      <c r="AD93" s="1">
        <v>0.0</v>
      </c>
      <c r="AE93" s="6">
        <v>0.6041666666666666</v>
      </c>
      <c r="AF93" s="1" t="s">
        <v>39</v>
      </c>
    </row>
    <row r="94">
      <c r="B94" s="2">
        <v>46192.0</v>
      </c>
      <c r="C94" s="3">
        <v>0.375</v>
      </c>
      <c r="D94" s="3">
        <v>0.40625</v>
      </c>
      <c r="E94" s="3">
        <v>0.375</v>
      </c>
      <c r="F94" s="3">
        <v>0.3798611111111111</v>
      </c>
      <c r="G94" s="7">
        <v>2.28805086056207E22</v>
      </c>
      <c r="H94" s="1" t="s">
        <v>204</v>
      </c>
      <c r="J94" s="1" t="s">
        <v>32</v>
      </c>
      <c r="K94" s="4">
        <f>+523318692026</f>
        <v>523318692026</v>
      </c>
      <c r="L94" s="1" t="s">
        <v>75</v>
      </c>
      <c r="M94" s="1" t="s">
        <v>42</v>
      </c>
      <c r="N94" s="1" t="s">
        <v>215</v>
      </c>
      <c r="P94" s="5">
        <v>0.0</v>
      </c>
      <c r="Q94" s="1">
        <v>0.0</v>
      </c>
      <c r="R94" s="1" t="s">
        <v>53</v>
      </c>
      <c r="S94" s="1" t="s">
        <v>35</v>
      </c>
      <c r="U94" s="1" t="s">
        <v>36</v>
      </c>
      <c r="V94" s="1">
        <v>0.0</v>
      </c>
      <c r="W94" s="1">
        <v>7.0</v>
      </c>
      <c r="X94" s="1">
        <v>7.0</v>
      </c>
      <c r="Y94" s="1" t="s">
        <v>46</v>
      </c>
      <c r="AA94" s="1" t="s">
        <v>38</v>
      </c>
      <c r="AB94" s="1">
        <v>0.0</v>
      </c>
      <c r="AC94" s="1">
        <v>0.0</v>
      </c>
      <c r="AD94" s="1">
        <v>0.0</v>
      </c>
      <c r="AE94" s="6">
        <v>0.375</v>
      </c>
      <c r="AF94" s="1" t="s">
        <v>39</v>
      </c>
    </row>
    <row r="95">
      <c r="B95" s="2">
        <v>46192.0</v>
      </c>
      <c r="C95" s="3">
        <v>0.375</v>
      </c>
      <c r="D95" s="3">
        <v>0.3958333333333333</v>
      </c>
      <c r="E95" s="3">
        <v>0.375</v>
      </c>
      <c r="F95" s="3">
        <v>0.4083333333333333</v>
      </c>
      <c r="G95" s="1">
        <v>9.4335666501E10</v>
      </c>
      <c r="H95" s="1" t="s">
        <v>100</v>
      </c>
      <c r="J95" s="1" t="s">
        <v>32</v>
      </c>
      <c r="K95" s="4">
        <f>+523313273436</f>
        <v>523313273436</v>
      </c>
      <c r="L95" s="1" t="s">
        <v>101</v>
      </c>
      <c r="M95" s="1" t="s">
        <v>59</v>
      </c>
      <c r="N95" s="1" t="s">
        <v>67</v>
      </c>
      <c r="P95" s="5">
        <v>15000.0</v>
      </c>
      <c r="Q95" s="1">
        <v>0.0</v>
      </c>
      <c r="R95" s="1" t="s">
        <v>45</v>
      </c>
      <c r="S95" s="1" t="s">
        <v>45</v>
      </c>
      <c r="U95" s="1" t="s">
        <v>36</v>
      </c>
      <c r="V95" s="1">
        <v>0.0</v>
      </c>
      <c r="W95" s="1">
        <v>48.0</v>
      </c>
      <c r="X95" s="1">
        <v>48.0</v>
      </c>
      <c r="Y95" s="1" t="s">
        <v>50</v>
      </c>
      <c r="AA95" s="1" t="s">
        <v>38</v>
      </c>
      <c r="AB95" s="1">
        <v>0.0</v>
      </c>
      <c r="AC95" s="1">
        <v>0.0</v>
      </c>
      <c r="AD95" s="1">
        <v>0.0</v>
      </c>
      <c r="AE95" s="6">
        <v>0.375</v>
      </c>
      <c r="AF95" s="1" t="s">
        <v>39</v>
      </c>
    </row>
    <row r="96">
      <c r="B96" s="2">
        <v>46192.0</v>
      </c>
      <c r="C96" s="3">
        <v>0.6770833333333334</v>
      </c>
      <c r="D96" s="3">
        <v>0.6840277777777778</v>
      </c>
      <c r="E96" s="3">
        <v>0.6770833333333334</v>
      </c>
      <c r="F96" s="3">
        <v>0.6881944444444444</v>
      </c>
      <c r="G96" s="1">
        <v>2.26405685936E11</v>
      </c>
      <c r="H96" s="1" t="s">
        <v>128</v>
      </c>
      <c r="J96" s="1" t="s">
        <v>32</v>
      </c>
      <c r="K96" s="4">
        <f>+524492253690</f>
        <v>524492253690</v>
      </c>
      <c r="L96" s="1" t="s">
        <v>41</v>
      </c>
      <c r="M96" s="1" t="s">
        <v>42</v>
      </c>
      <c r="N96" s="1" t="s">
        <v>216</v>
      </c>
      <c r="P96" s="5">
        <v>0.0</v>
      </c>
      <c r="R96" s="1" t="s">
        <v>44</v>
      </c>
      <c r="S96" s="1" t="s">
        <v>45</v>
      </c>
      <c r="U96" s="1" t="s">
        <v>36</v>
      </c>
      <c r="V96" s="1">
        <v>0.0</v>
      </c>
      <c r="W96" s="1">
        <v>16.0</v>
      </c>
      <c r="X96" s="1">
        <v>16.0</v>
      </c>
      <c r="Y96" s="1" t="s">
        <v>155</v>
      </c>
      <c r="AB96" s="1">
        <v>0.0</v>
      </c>
      <c r="AC96" s="1">
        <v>0.0</v>
      </c>
      <c r="AD96" s="1">
        <v>0.0</v>
      </c>
      <c r="AE96" s="6">
        <v>0.6770833333333334</v>
      </c>
      <c r="AF96" s="1" t="s">
        <v>39</v>
      </c>
    </row>
    <row r="97">
      <c r="B97" s="2">
        <v>46192.0</v>
      </c>
      <c r="C97" s="3">
        <v>0.5555555555555556</v>
      </c>
      <c r="D97" s="3">
        <v>0.5659722222222222</v>
      </c>
      <c r="E97" s="3">
        <v>0.5555555555555556</v>
      </c>
      <c r="F97" s="3">
        <v>0.48194444444444445</v>
      </c>
      <c r="G97" s="1">
        <v>2.27359912592E11</v>
      </c>
      <c r="H97" s="1" t="s">
        <v>217</v>
      </c>
      <c r="J97" s="1" t="s">
        <v>32</v>
      </c>
      <c r="K97" s="4">
        <f>+5213310902120</f>
        <v>5213310902120</v>
      </c>
      <c r="L97" s="1" t="s">
        <v>33</v>
      </c>
      <c r="M97" s="1" t="s">
        <v>34</v>
      </c>
      <c r="N97" s="1" t="s">
        <v>218</v>
      </c>
      <c r="P97" s="1">
        <v>0.0</v>
      </c>
      <c r="R97" s="1" t="s">
        <v>35</v>
      </c>
      <c r="S97" s="1" t="s">
        <v>35</v>
      </c>
      <c r="U97" s="1" t="s">
        <v>55</v>
      </c>
      <c r="V97" s="1">
        <v>0.0</v>
      </c>
      <c r="W97" s="1">
        <v>-106.0</v>
      </c>
      <c r="X97" s="1">
        <v>-106.0</v>
      </c>
      <c r="Y97" s="1" t="s">
        <v>56</v>
      </c>
      <c r="AA97" s="1" t="s">
        <v>38</v>
      </c>
      <c r="AB97" s="1">
        <v>0.0</v>
      </c>
      <c r="AC97" s="1">
        <v>0.0</v>
      </c>
      <c r="AD97" s="1">
        <v>0.0</v>
      </c>
      <c r="AE97" s="6">
        <v>0.5555555555555556</v>
      </c>
      <c r="AF97" s="1" t="s">
        <v>39</v>
      </c>
    </row>
    <row r="98">
      <c r="B98" s="2">
        <v>46192.0</v>
      </c>
      <c r="C98" s="3">
        <v>0.6666666666666666</v>
      </c>
      <c r="D98" s="3">
        <v>0.6736111111111112</v>
      </c>
      <c r="E98" s="3">
        <v>0.6666666666666666</v>
      </c>
      <c r="F98" s="3">
        <v>0.6965277777777777</v>
      </c>
      <c r="G98" s="1">
        <v>2.28577788033E11</v>
      </c>
      <c r="H98" s="1" t="s">
        <v>153</v>
      </c>
      <c r="J98" s="1" t="s">
        <v>32</v>
      </c>
      <c r="K98" s="4">
        <f t="shared" ref="K98:K99" si="4">+523319122863</f>
        <v>523319122863</v>
      </c>
      <c r="L98" s="1" t="s">
        <v>41</v>
      </c>
      <c r="M98" s="1" t="s">
        <v>42</v>
      </c>
      <c r="N98" s="1" t="s">
        <v>219</v>
      </c>
      <c r="P98" s="1">
        <v>0.0</v>
      </c>
      <c r="R98" s="1" t="s">
        <v>44</v>
      </c>
      <c r="S98" s="1" t="s">
        <v>62</v>
      </c>
      <c r="U98" s="1" t="s">
        <v>36</v>
      </c>
      <c r="V98" s="1">
        <v>0.0</v>
      </c>
      <c r="W98" s="1">
        <v>43.0</v>
      </c>
      <c r="X98" s="1">
        <v>43.0</v>
      </c>
      <c r="Y98" s="1" t="s">
        <v>81</v>
      </c>
      <c r="AA98" s="1" t="s">
        <v>38</v>
      </c>
      <c r="AB98" s="1">
        <v>0.0</v>
      </c>
      <c r="AC98" s="1">
        <v>0.0</v>
      </c>
      <c r="AD98" s="1">
        <v>0.0</v>
      </c>
      <c r="AE98" s="6">
        <v>0.6666666666666666</v>
      </c>
      <c r="AF98" s="1" t="s">
        <v>39</v>
      </c>
    </row>
    <row r="99">
      <c r="B99" s="2">
        <v>46192.0</v>
      </c>
      <c r="C99" s="3">
        <v>0.6666666666666666</v>
      </c>
      <c r="D99" s="3">
        <v>0.7083333333333334</v>
      </c>
      <c r="E99" s="3">
        <v>0.6666666666666666</v>
      </c>
      <c r="F99" s="3">
        <v>0.6701388888888888</v>
      </c>
      <c r="G99" s="1">
        <v>2.28577788033E11</v>
      </c>
      <c r="H99" s="1" t="s">
        <v>153</v>
      </c>
      <c r="J99" s="1" t="s">
        <v>32</v>
      </c>
      <c r="K99" s="4">
        <f t="shared" si="4"/>
        <v>523319122863</v>
      </c>
      <c r="L99" s="1" t="s">
        <v>220</v>
      </c>
      <c r="M99" s="1" t="s">
        <v>48</v>
      </c>
      <c r="N99" s="1" t="s">
        <v>221</v>
      </c>
      <c r="P99" s="1">
        <v>0.0</v>
      </c>
      <c r="R99" s="1" t="s">
        <v>62</v>
      </c>
      <c r="S99" s="1" t="s">
        <v>62</v>
      </c>
      <c r="U99" s="1" t="s">
        <v>36</v>
      </c>
      <c r="V99" s="1">
        <v>0.0</v>
      </c>
      <c r="W99" s="1">
        <v>5.0</v>
      </c>
      <c r="X99" s="1">
        <v>5.0</v>
      </c>
      <c r="Y99" s="1" t="s">
        <v>50</v>
      </c>
      <c r="AA99" s="1" t="s">
        <v>38</v>
      </c>
      <c r="AB99" s="1">
        <v>0.0</v>
      </c>
      <c r="AC99" s="1">
        <v>0.0</v>
      </c>
      <c r="AD99" s="1">
        <v>0.0</v>
      </c>
      <c r="AE99" s="6">
        <v>0.6666666666666666</v>
      </c>
      <c r="AF99" s="1" t="s">
        <v>39</v>
      </c>
    </row>
    <row r="100">
      <c r="B100" s="2">
        <v>46192.0</v>
      </c>
      <c r="C100" s="3">
        <v>0.4583333333333333</v>
      </c>
      <c r="D100" s="3">
        <v>0.4895833333333333</v>
      </c>
      <c r="E100" s="3">
        <v>0.4583333333333333</v>
      </c>
      <c r="F100" s="3">
        <v>0.4951388888888889</v>
      </c>
      <c r="G100" s="1">
        <v>2.15663555676E11</v>
      </c>
      <c r="H100" s="1" t="s">
        <v>222</v>
      </c>
      <c r="J100" s="1" t="s">
        <v>32</v>
      </c>
      <c r="K100" s="4" t="str">
        <f>+52 33 1118 6848</f>
        <v>#ERROR!</v>
      </c>
      <c r="L100" s="1" t="s">
        <v>223</v>
      </c>
      <c r="M100" s="1" t="s">
        <v>42</v>
      </c>
      <c r="P100" s="1">
        <v>0.0</v>
      </c>
      <c r="R100" s="1" t="s">
        <v>53</v>
      </c>
      <c r="S100" s="1" t="s">
        <v>35</v>
      </c>
      <c r="U100" s="1" t="s">
        <v>36</v>
      </c>
      <c r="V100" s="1">
        <v>0.0</v>
      </c>
      <c r="W100" s="1">
        <v>53.0</v>
      </c>
      <c r="X100" s="1">
        <v>53.0</v>
      </c>
      <c r="Y100" s="1" t="s">
        <v>56</v>
      </c>
      <c r="AA100" s="1" t="s">
        <v>38</v>
      </c>
      <c r="AB100" s="1">
        <v>0.0</v>
      </c>
      <c r="AC100" s="1">
        <v>0.0</v>
      </c>
      <c r="AD100" s="1">
        <v>0.0</v>
      </c>
      <c r="AE100" s="6">
        <v>0.4583333333333333</v>
      </c>
      <c r="AF100" s="1" t="s">
        <v>39</v>
      </c>
    </row>
    <row r="101">
      <c r="B101" s="2">
        <v>46192.0</v>
      </c>
      <c r="C101" s="3">
        <v>0.5</v>
      </c>
      <c r="D101" s="3">
        <v>0.5208333333333334</v>
      </c>
      <c r="E101" s="3">
        <v>0.5</v>
      </c>
      <c r="F101" s="3">
        <v>0.49444444444444446</v>
      </c>
      <c r="G101" s="1">
        <v>5.9864908977E10</v>
      </c>
      <c r="H101" s="1" t="s">
        <v>224</v>
      </c>
      <c r="J101" s="1" t="s">
        <v>32</v>
      </c>
      <c r="K101" s="4">
        <f>+523311491429</f>
        <v>523311491429</v>
      </c>
      <c r="L101" s="1" t="s">
        <v>101</v>
      </c>
      <c r="M101" s="1" t="s">
        <v>59</v>
      </c>
      <c r="N101" s="1" t="s">
        <v>67</v>
      </c>
      <c r="P101" s="1">
        <v>0.0</v>
      </c>
      <c r="Q101" s="1">
        <v>0.0</v>
      </c>
      <c r="R101" s="1" t="s">
        <v>45</v>
      </c>
      <c r="S101" s="1" t="s">
        <v>45</v>
      </c>
      <c r="U101" s="1" t="s">
        <v>36</v>
      </c>
      <c r="V101" s="1">
        <v>0.0</v>
      </c>
      <c r="W101" s="1">
        <v>-8.0</v>
      </c>
      <c r="X101" s="1">
        <v>-8.0</v>
      </c>
      <c r="Y101" s="1" t="s">
        <v>50</v>
      </c>
      <c r="AA101" s="1" t="s">
        <v>38</v>
      </c>
      <c r="AB101" s="1">
        <v>0.0</v>
      </c>
      <c r="AC101" s="1">
        <v>0.0</v>
      </c>
      <c r="AD101" s="1">
        <v>0.0</v>
      </c>
      <c r="AE101" s="6">
        <v>0.5</v>
      </c>
      <c r="AF101" s="1" t="s">
        <v>39</v>
      </c>
    </row>
    <row r="102">
      <c r="B102" s="2">
        <v>46192.0</v>
      </c>
      <c r="C102" s="3">
        <v>0.4583333333333333</v>
      </c>
      <c r="D102" s="3">
        <v>0.4791666666666667</v>
      </c>
      <c r="E102" s="3">
        <v>0.4583333333333333</v>
      </c>
      <c r="F102" s="3">
        <v>0.4791666666666667</v>
      </c>
      <c r="H102" s="1" t="s">
        <v>225</v>
      </c>
      <c r="J102" s="1" t="s">
        <v>32</v>
      </c>
      <c r="K102" s="4" t="str">
        <f>+52 313 962 0524</f>
        <v>#ERROR!</v>
      </c>
      <c r="L102" s="1" t="s">
        <v>86</v>
      </c>
      <c r="M102" s="1" t="s">
        <v>87</v>
      </c>
      <c r="N102" s="1" t="s">
        <v>226</v>
      </c>
      <c r="P102" s="5">
        <v>0.0</v>
      </c>
      <c r="Q102" s="1">
        <v>0.0</v>
      </c>
      <c r="R102" s="1" t="s">
        <v>53</v>
      </c>
      <c r="S102" s="1" t="s">
        <v>125</v>
      </c>
      <c r="U102" s="1" t="s">
        <v>55</v>
      </c>
      <c r="V102" s="1">
        <v>0.0</v>
      </c>
      <c r="W102" s="1">
        <v>30.0</v>
      </c>
      <c r="X102" s="1">
        <v>30.0</v>
      </c>
      <c r="Y102" s="1" t="s">
        <v>78</v>
      </c>
      <c r="AA102" s="1" t="s">
        <v>38</v>
      </c>
      <c r="AB102" s="1">
        <v>0.0</v>
      </c>
      <c r="AC102" s="1">
        <v>0.0</v>
      </c>
      <c r="AD102" s="1">
        <v>0.0</v>
      </c>
      <c r="AE102" s="6">
        <v>0.4583333333333333</v>
      </c>
      <c r="AF102" s="1" t="s">
        <v>39</v>
      </c>
    </row>
    <row r="103">
      <c r="B103" s="2">
        <v>46192.0</v>
      </c>
      <c r="C103" s="3">
        <v>0.4166666666666667</v>
      </c>
      <c r="D103" s="3">
        <v>0.4305555555555556</v>
      </c>
      <c r="E103" s="3">
        <v>0.4166666666666667</v>
      </c>
      <c r="F103" s="3">
        <v>0.43472222222222223</v>
      </c>
      <c r="G103" s="1">
        <v>8.882884717E10</v>
      </c>
      <c r="H103" s="1" t="s">
        <v>227</v>
      </c>
      <c r="J103" s="1" t="s">
        <v>32</v>
      </c>
      <c r="K103" s="4">
        <f>+523316040058</f>
        <v>523316040058</v>
      </c>
      <c r="L103" s="1" t="s">
        <v>162</v>
      </c>
      <c r="M103" s="1" t="s">
        <v>34</v>
      </c>
      <c r="N103" s="1" t="s">
        <v>67</v>
      </c>
      <c r="P103" s="5">
        <v>0.06</v>
      </c>
      <c r="R103" s="1" t="s">
        <v>122</v>
      </c>
      <c r="S103" s="1" t="s">
        <v>122</v>
      </c>
      <c r="U103" s="1" t="s">
        <v>36</v>
      </c>
      <c r="V103" s="1">
        <v>0.0</v>
      </c>
      <c r="W103" s="1">
        <v>26.0</v>
      </c>
      <c r="X103" s="1">
        <v>26.0</v>
      </c>
      <c r="Y103" s="1" t="s">
        <v>50</v>
      </c>
      <c r="AA103" s="1" t="s">
        <v>38</v>
      </c>
      <c r="AB103" s="1">
        <v>0.0</v>
      </c>
      <c r="AC103" s="1">
        <v>0.0</v>
      </c>
      <c r="AD103" s="1">
        <v>0.0</v>
      </c>
      <c r="AE103" s="6">
        <v>0.4166666666666667</v>
      </c>
      <c r="AF103" s="1" t="s">
        <v>39</v>
      </c>
    </row>
    <row r="104">
      <c r="B104" s="2">
        <v>46192.0</v>
      </c>
      <c r="C104" s="3">
        <v>0.625</v>
      </c>
      <c r="D104" s="3">
        <v>0.6458333333333334</v>
      </c>
      <c r="E104" s="3">
        <v>0.625</v>
      </c>
      <c r="F104" s="3">
        <v>0.6444444444444445</v>
      </c>
      <c r="G104" s="1">
        <v>2.16903155062E11</v>
      </c>
      <c r="H104" s="1" t="s">
        <v>228</v>
      </c>
      <c r="J104" s="1" t="s">
        <v>32</v>
      </c>
      <c r="K104" s="4">
        <f>+523223293696</f>
        <v>523223293696</v>
      </c>
      <c r="L104" s="1" t="s">
        <v>121</v>
      </c>
      <c r="M104" s="1" t="s">
        <v>59</v>
      </c>
      <c r="N104" s="1" t="s">
        <v>67</v>
      </c>
      <c r="P104" s="5">
        <v>0.0</v>
      </c>
      <c r="R104" s="1" t="s">
        <v>62</v>
      </c>
      <c r="S104" s="1" t="s">
        <v>62</v>
      </c>
      <c r="U104" s="1" t="s">
        <v>36</v>
      </c>
      <c r="V104" s="1">
        <v>0.0</v>
      </c>
      <c r="W104" s="1">
        <v>28.0</v>
      </c>
      <c r="X104" s="1">
        <v>28.0</v>
      </c>
      <c r="Y104" s="1" t="s">
        <v>50</v>
      </c>
      <c r="AA104" s="1" t="s">
        <v>38</v>
      </c>
      <c r="AB104" s="1">
        <v>0.0</v>
      </c>
      <c r="AC104" s="1">
        <v>0.0</v>
      </c>
      <c r="AD104" s="1">
        <v>0.0</v>
      </c>
      <c r="AE104" s="6">
        <v>0.625</v>
      </c>
      <c r="AF104" s="1" t="s">
        <v>39</v>
      </c>
    </row>
    <row r="105">
      <c r="B105" s="2">
        <v>46192.0</v>
      </c>
      <c r="C105" s="3">
        <v>0.75</v>
      </c>
      <c r="D105" s="3">
        <v>0.7916666666666666</v>
      </c>
      <c r="E105" s="3">
        <v>0.75</v>
      </c>
      <c r="F105" s="3">
        <v>0.7819444444444444</v>
      </c>
      <c r="G105" s="1">
        <v>1.14730173105E11</v>
      </c>
      <c r="H105" s="1" t="s">
        <v>229</v>
      </c>
      <c r="J105" s="1" t="s">
        <v>32</v>
      </c>
      <c r="K105" s="4">
        <f>+5213317645045</f>
        <v>5213317645045</v>
      </c>
      <c r="L105" s="1" t="s">
        <v>83</v>
      </c>
      <c r="M105" s="1" t="s">
        <v>48</v>
      </c>
      <c r="N105" s="1" t="s">
        <v>230</v>
      </c>
      <c r="P105" s="5">
        <v>0.0</v>
      </c>
      <c r="R105" s="1" t="s">
        <v>35</v>
      </c>
      <c r="S105" s="1" t="s">
        <v>35</v>
      </c>
      <c r="U105" s="1" t="s">
        <v>36</v>
      </c>
      <c r="V105" s="1">
        <v>0.0</v>
      </c>
      <c r="W105" s="1">
        <v>46.0</v>
      </c>
      <c r="X105" s="1">
        <v>46.0</v>
      </c>
      <c r="Y105" s="1" t="s">
        <v>50</v>
      </c>
      <c r="AA105" s="1" t="s">
        <v>38</v>
      </c>
      <c r="AB105" s="1">
        <v>0.0</v>
      </c>
      <c r="AC105" s="1">
        <v>0.0</v>
      </c>
      <c r="AD105" s="1">
        <v>0.0</v>
      </c>
      <c r="AE105" s="6">
        <v>0.75</v>
      </c>
      <c r="AF105" s="1" t="s">
        <v>39</v>
      </c>
    </row>
    <row r="106">
      <c r="B106" s="2">
        <v>46192.0</v>
      </c>
      <c r="C106" s="3">
        <v>0.6666666666666666</v>
      </c>
      <c r="D106" s="3">
        <v>0.7083333333333334</v>
      </c>
      <c r="E106" s="3">
        <v>0.6666666666666666</v>
      </c>
      <c r="F106" s="3">
        <v>0.6840277777777778</v>
      </c>
      <c r="G106" s="1">
        <v>2.26405685936E11</v>
      </c>
      <c r="H106" s="1" t="s">
        <v>128</v>
      </c>
      <c r="J106" s="1" t="s">
        <v>32</v>
      </c>
      <c r="K106" s="4">
        <f>+524492253690</f>
        <v>524492253690</v>
      </c>
      <c r="L106" s="1" t="s">
        <v>83</v>
      </c>
      <c r="M106" s="1" t="s">
        <v>48</v>
      </c>
      <c r="N106" s="1" t="s">
        <v>231</v>
      </c>
      <c r="P106" s="1">
        <v>0.0</v>
      </c>
      <c r="R106" s="1" t="s">
        <v>45</v>
      </c>
      <c r="S106" s="1" t="s">
        <v>45</v>
      </c>
      <c r="U106" s="1" t="s">
        <v>36</v>
      </c>
      <c r="V106" s="1">
        <v>0.0</v>
      </c>
      <c r="W106" s="1">
        <v>25.0</v>
      </c>
      <c r="X106" s="1">
        <v>25.0</v>
      </c>
      <c r="Y106" s="1" t="s">
        <v>50</v>
      </c>
      <c r="AB106" s="1">
        <v>1.0</v>
      </c>
      <c r="AC106" s="1">
        <v>0.0</v>
      </c>
      <c r="AD106" s="1">
        <v>0.0</v>
      </c>
      <c r="AE106" s="6">
        <v>0.6666666666666666</v>
      </c>
      <c r="AF106" s="1" t="s">
        <v>39</v>
      </c>
    </row>
    <row r="107">
      <c r="B107" s="2">
        <v>46191.0</v>
      </c>
      <c r="C107" s="3">
        <v>0.5625</v>
      </c>
      <c r="D107" s="3">
        <v>0.5729166666666666</v>
      </c>
      <c r="E107" s="3">
        <v>0.5625</v>
      </c>
      <c r="F107" s="3">
        <v>0.5104166666666666</v>
      </c>
      <c r="G107" s="1">
        <v>1.28615761068E11</v>
      </c>
      <c r="H107" s="1" t="s">
        <v>232</v>
      </c>
      <c r="J107" s="1" t="s">
        <v>32</v>
      </c>
      <c r="K107" s="4">
        <f>+523335782664</f>
        <v>523335782664</v>
      </c>
      <c r="L107" s="1" t="s">
        <v>97</v>
      </c>
      <c r="M107" s="1" t="s">
        <v>42</v>
      </c>
      <c r="N107" s="1" t="s">
        <v>233</v>
      </c>
      <c r="P107" s="1">
        <v>0.0</v>
      </c>
      <c r="Q107" s="1">
        <v>0.0</v>
      </c>
      <c r="R107" s="1" t="s">
        <v>44</v>
      </c>
      <c r="S107" s="1" t="s">
        <v>45</v>
      </c>
      <c r="U107" s="1" t="s">
        <v>55</v>
      </c>
      <c r="V107" s="1">
        <v>0.0</v>
      </c>
      <c r="W107" s="1">
        <v>-75.0</v>
      </c>
      <c r="X107" s="1">
        <v>-75.0</v>
      </c>
      <c r="Y107" s="1" t="s">
        <v>56</v>
      </c>
      <c r="AA107" s="1" t="s">
        <v>38</v>
      </c>
      <c r="AB107" s="1">
        <v>0.0</v>
      </c>
      <c r="AC107" s="1">
        <v>0.0</v>
      </c>
      <c r="AD107" s="1">
        <v>0.0</v>
      </c>
      <c r="AE107" s="6">
        <v>0.5625</v>
      </c>
      <c r="AF107" s="1" t="s">
        <v>39</v>
      </c>
    </row>
    <row r="108">
      <c r="B108" s="2">
        <v>46191.0</v>
      </c>
      <c r="C108" s="3">
        <v>0.4479166666666667</v>
      </c>
      <c r="D108" s="3">
        <v>0.4583333333333333</v>
      </c>
      <c r="E108" s="3">
        <v>0.4479166666666667</v>
      </c>
      <c r="F108" s="3">
        <v>0.4201388888888889</v>
      </c>
      <c r="G108" s="1">
        <v>9.4984620904E10</v>
      </c>
      <c r="H108" s="1" t="s">
        <v>234</v>
      </c>
      <c r="J108" s="1" t="s">
        <v>32</v>
      </c>
      <c r="K108" s="4">
        <f>+5213310479262</f>
        <v>5213310479262</v>
      </c>
      <c r="L108" s="1" t="s">
        <v>33</v>
      </c>
      <c r="M108" s="1" t="s">
        <v>34</v>
      </c>
      <c r="N108" s="1" t="s">
        <v>235</v>
      </c>
      <c r="P108" s="1">
        <v>0.0</v>
      </c>
      <c r="R108" s="1" t="s">
        <v>236</v>
      </c>
      <c r="S108" s="1" t="s">
        <v>236</v>
      </c>
      <c r="U108" s="1" t="s">
        <v>36</v>
      </c>
      <c r="V108" s="1">
        <v>0.0</v>
      </c>
      <c r="W108" s="1">
        <v>-40.0</v>
      </c>
      <c r="X108" s="1">
        <v>-40.0</v>
      </c>
      <c r="Y108" s="1" t="s">
        <v>56</v>
      </c>
      <c r="AA108" s="1" t="s">
        <v>38</v>
      </c>
      <c r="AB108" s="1">
        <v>0.0</v>
      </c>
      <c r="AC108" s="1">
        <v>0.0</v>
      </c>
      <c r="AD108" s="1">
        <v>0.0</v>
      </c>
      <c r="AE108" s="6">
        <v>0.4479166666666667</v>
      </c>
      <c r="AF108" s="1" t="s">
        <v>39</v>
      </c>
    </row>
    <row r="109">
      <c r="B109" s="2">
        <v>46191.0</v>
      </c>
      <c r="C109" s="3">
        <v>0.375</v>
      </c>
      <c r="D109" s="3">
        <v>0.40625</v>
      </c>
      <c r="E109" s="3">
        <v>0.375</v>
      </c>
      <c r="F109" s="3">
        <v>0.3909722222222222</v>
      </c>
      <c r="H109" s="1" t="s">
        <v>237</v>
      </c>
      <c r="J109" s="1" t="s">
        <v>32</v>
      </c>
      <c r="K109" s="4" t="str">
        <f>+52 33 3676 3100</f>
        <v>#ERROR!</v>
      </c>
      <c r="L109" s="1" t="s">
        <v>75</v>
      </c>
      <c r="M109" s="1" t="s">
        <v>42</v>
      </c>
      <c r="P109" s="1">
        <v>0.0</v>
      </c>
      <c r="R109" s="1" t="s">
        <v>53</v>
      </c>
      <c r="S109" s="1" t="s">
        <v>236</v>
      </c>
      <c r="U109" s="1" t="s">
        <v>55</v>
      </c>
      <c r="V109" s="1">
        <v>0.0</v>
      </c>
      <c r="W109" s="1">
        <v>23.0</v>
      </c>
      <c r="X109" s="1">
        <v>23.0</v>
      </c>
      <c r="Y109" s="1" t="s">
        <v>78</v>
      </c>
      <c r="AA109" s="1" t="s">
        <v>38</v>
      </c>
      <c r="AB109" s="1">
        <v>0.0</v>
      </c>
      <c r="AC109" s="1">
        <v>0.0</v>
      </c>
      <c r="AD109" s="1">
        <v>0.0</v>
      </c>
      <c r="AE109" s="6">
        <v>0.375</v>
      </c>
      <c r="AF109" s="1" t="s">
        <v>39</v>
      </c>
    </row>
    <row r="110">
      <c r="B110" s="2">
        <v>46191.0</v>
      </c>
      <c r="C110" s="3">
        <v>0.5</v>
      </c>
      <c r="D110" s="3">
        <v>0.5104166666666666</v>
      </c>
      <c r="E110" s="3">
        <v>0.5</v>
      </c>
      <c r="F110" s="3">
        <v>0.5090277777777777</v>
      </c>
      <c r="G110" s="1">
        <v>2.28614521218E11</v>
      </c>
      <c r="H110" s="1" t="s">
        <v>238</v>
      </c>
      <c r="J110" s="1" t="s">
        <v>32</v>
      </c>
      <c r="K110" s="4">
        <f>+5213326376390</f>
        <v>5213326376390</v>
      </c>
      <c r="L110" s="1" t="s">
        <v>33</v>
      </c>
      <c r="M110" s="1" t="s">
        <v>34</v>
      </c>
      <c r="N110" s="1" t="s">
        <v>239</v>
      </c>
      <c r="P110" s="1">
        <v>0.0</v>
      </c>
      <c r="R110" s="1" t="s">
        <v>35</v>
      </c>
      <c r="S110" s="1" t="s">
        <v>35</v>
      </c>
      <c r="U110" s="1" t="s">
        <v>36</v>
      </c>
      <c r="V110" s="1">
        <v>0.0</v>
      </c>
      <c r="W110" s="1">
        <v>13.0</v>
      </c>
      <c r="X110" s="1">
        <v>13.0</v>
      </c>
      <c r="Y110" s="1" t="s">
        <v>37</v>
      </c>
      <c r="AA110" s="1" t="s">
        <v>38</v>
      </c>
      <c r="AB110" s="1">
        <v>0.0</v>
      </c>
      <c r="AC110" s="1">
        <v>0.0</v>
      </c>
      <c r="AD110" s="1">
        <v>0.0</v>
      </c>
      <c r="AE110" s="6">
        <v>0.5</v>
      </c>
      <c r="AF110" s="1" t="s">
        <v>39</v>
      </c>
    </row>
    <row r="111">
      <c r="B111" s="2">
        <v>46191.0</v>
      </c>
      <c r="C111" s="3">
        <v>0.5208333333333334</v>
      </c>
      <c r="D111" s="3">
        <v>0.5625</v>
      </c>
      <c r="E111" s="3">
        <v>0.5208333333333334</v>
      </c>
      <c r="F111" s="3">
        <v>0.5159722222222223</v>
      </c>
      <c r="G111" s="1">
        <v>1.2557117853E11</v>
      </c>
      <c r="H111" s="1" t="s">
        <v>240</v>
      </c>
      <c r="J111" s="1" t="s">
        <v>32</v>
      </c>
      <c r="K111" s="4">
        <f>+5213311595445</f>
        <v>5213311595445</v>
      </c>
      <c r="L111" s="1" t="s">
        <v>241</v>
      </c>
      <c r="M111" s="1" t="s">
        <v>34</v>
      </c>
      <c r="P111" s="5">
        <v>4995.0</v>
      </c>
      <c r="R111" s="1" t="s">
        <v>35</v>
      </c>
      <c r="S111" s="1" t="s">
        <v>62</v>
      </c>
      <c r="U111" s="1" t="s">
        <v>36</v>
      </c>
      <c r="V111" s="1">
        <v>0.0</v>
      </c>
      <c r="W111" s="1">
        <v>-7.0</v>
      </c>
      <c r="X111" s="1">
        <v>-7.0</v>
      </c>
      <c r="Y111" s="1" t="s">
        <v>56</v>
      </c>
      <c r="AA111" s="1" t="s">
        <v>38</v>
      </c>
      <c r="AB111" s="1">
        <v>0.0</v>
      </c>
      <c r="AC111" s="1">
        <v>0.0</v>
      </c>
      <c r="AD111" s="1">
        <v>0.0</v>
      </c>
      <c r="AE111" s="6">
        <v>0.5208333333333334</v>
      </c>
      <c r="AF111" s="1" t="s">
        <v>39</v>
      </c>
    </row>
    <row r="112">
      <c r="B112" s="2">
        <v>46191.0</v>
      </c>
      <c r="C112" s="3">
        <v>0.5</v>
      </c>
      <c r="D112" s="3">
        <v>0.5104166666666666</v>
      </c>
      <c r="E112" s="3">
        <v>0.5</v>
      </c>
      <c r="F112" s="3">
        <v>0.5090277777777777</v>
      </c>
      <c r="G112" s="1">
        <v>2.27588513296E11</v>
      </c>
      <c r="H112" s="1" t="s">
        <v>242</v>
      </c>
      <c r="J112" s="1" t="s">
        <v>32</v>
      </c>
      <c r="K112" s="4">
        <f>+523325370344</f>
        <v>523325370344</v>
      </c>
      <c r="L112" s="1" t="s">
        <v>33</v>
      </c>
      <c r="M112" s="1" t="s">
        <v>34</v>
      </c>
      <c r="P112" s="5">
        <v>0.0</v>
      </c>
      <c r="R112" s="1" t="s">
        <v>70</v>
      </c>
      <c r="S112" s="1" t="s">
        <v>70</v>
      </c>
      <c r="U112" s="1" t="s">
        <v>55</v>
      </c>
      <c r="V112" s="1">
        <v>0.0</v>
      </c>
      <c r="W112" s="1">
        <v>13.0</v>
      </c>
      <c r="X112" s="1">
        <v>13.0</v>
      </c>
      <c r="Y112" s="1" t="s">
        <v>37</v>
      </c>
      <c r="AA112" s="1" t="s">
        <v>38</v>
      </c>
      <c r="AB112" s="1">
        <v>0.0</v>
      </c>
      <c r="AC112" s="1">
        <v>0.0</v>
      </c>
      <c r="AD112" s="1">
        <v>0.0</v>
      </c>
      <c r="AE112" s="6">
        <v>0.5</v>
      </c>
      <c r="AF112" s="1" t="s">
        <v>39</v>
      </c>
    </row>
    <row r="113">
      <c r="B113" s="2">
        <v>46191.0</v>
      </c>
      <c r="C113" s="3">
        <v>0.3333333333333333</v>
      </c>
      <c r="D113" s="3">
        <v>0.375</v>
      </c>
      <c r="E113" s="3">
        <v>0.3333333333333333</v>
      </c>
      <c r="F113" s="3">
        <v>0.7645833333333333</v>
      </c>
      <c r="G113" s="1">
        <v>2.27620951194E11</v>
      </c>
      <c r="H113" s="1" t="s">
        <v>243</v>
      </c>
      <c r="J113" s="1" t="s">
        <v>32</v>
      </c>
      <c r="K113" s="4">
        <f>+523312989332</f>
        <v>523312989332</v>
      </c>
      <c r="L113" s="1" t="s">
        <v>105</v>
      </c>
      <c r="M113" s="1" t="s">
        <v>48</v>
      </c>
      <c r="N113" s="1" t="s">
        <v>244</v>
      </c>
      <c r="P113" s="5">
        <v>0.0</v>
      </c>
      <c r="Q113" s="1">
        <v>0.0</v>
      </c>
      <c r="R113" s="1" t="s">
        <v>45</v>
      </c>
      <c r="S113" s="1" t="s">
        <v>45</v>
      </c>
      <c r="U113" s="1" t="s">
        <v>36</v>
      </c>
      <c r="V113" s="1">
        <v>0.0</v>
      </c>
      <c r="W113" s="1">
        <v>621.0</v>
      </c>
      <c r="X113" s="1">
        <v>621.0</v>
      </c>
      <c r="Y113" s="1" t="s">
        <v>50</v>
      </c>
      <c r="AA113" s="1" t="s">
        <v>38</v>
      </c>
      <c r="AB113" s="1">
        <v>0.0</v>
      </c>
      <c r="AC113" s="1">
        <v>0.0</v>
      </c>
      <c r="AD113" s="1">
        <v>0.0</v>
      </c>
      <c r="AE113" s="6">
        <v>0.3333333333333333</v>
      </c>
      <c r="AF113" s="1" t="s">
        <v>39</v>
      </c>
    </row>
    <row r="114">
      <c r="B114" s="2">
        <v>46190.0</v>
      </c>
      <c r="C114" s="3">
        <v>0.6666666666666666</v>
      </c>
      <c r="D114" s="3">
        <v>0.7083333333333334</v>
      </c>
      <c r="E114" s="3">
        <v>0.6666666666666666</v>
      </c>
      <c r="F114" s="3">
        <v>0.6819444444444445</v>
      </c>
      <c r="G114" s="1">
        <v>2.29130506372E11</v>
      </c>
      <c r="H114" s="1" t="s">
        <v>245</v>
      </c>
      <c r="J114" s="1" t="s">
        <v>32</v>
      </c>
      <c r="K114" s="4">
        <f>+523335767498</f>
        <v>523335767498</v>
      </c>
      <c r="L114" s="1" t="s">
        <v>105</v>
      </c>
      <c r="M114" s="1" t="s">
        <v>48</v>
      </c>
      <c r="N114" s="1" t="s">
        <v>67</v>
      </c>
      <c r="P114" s="5">
        <v>0.0</v>
      </c>
      <c r="Q114" s="1">
        <v>0.0</v>
      </c>
      <c r="R114" s="1" t="s">
        <v>45</v>
      </c>
      <c r="S114" s="1" t="s">
        <v>45</v>
      </c>
      <c r="U114" s="1" t="s">
        <v>36</v>
      </c>
      <c r="V114" s="1">
        <v>0.0</v>
      </c>
      <c r="W114" s="1">
        <v>22.0</v>
      </c>
      <c r="X114" s="1">
        <v>22.0</v>
      </c>
      <c r="Y114" s="1" t="s">
        <v>50</v>
      </c>
      <c r="AA114" s="1" t="s">
        <v>38</v>
      </c>
      <c r="AB114" s="1">
        <v>0.0</v>
      </c>
      <c r="AC114" s="1">
        <v>0.0</v>
      </c>
      <c r="AD114" s="1">
        <v>0.0</v>
      </c>
      <c r="AE114" s="6">
        <v>0.6666666666666666</v>
      </c>
      <c r="AF114" s="1" t="s">
        <v>39</v>
      </c>
    </row>
    <row r="115">
      <c r="B115" s="2">
        <v>46190.0</v>
      </c>
      <c r="C115" s="3">
        <v>0.3541666666666667</v>
      </c>
      <c r="D115" s="3">
        <v>0.3854166666666667</v>
      </c>
      <c r="E115" s="3">
        <v>0.3541666666666667</v>
      </c>
      <c r="F115" s="3">
        <v>0.36180555555555555</v>
      </c>
      <c r="H115" s="1" t="s">
        <v>246</v>
      </c>
      <c r="J115" s="1" t="s">
        <v>32</v>
      </c>
      <c r="K115" s="4">
        <f>+523345188960</f>
        <v>523345188960</v>
      </c>
      <c r="L115" s="1" t="s">
        <v>247</v>
      </c>
      <c r="M115" s="1" t="s">
        <v>42</v>
      </c>
      <c r="P115" s="5">
        <v>0.0</v>
      </c>
      <c r="Q115" s="1">
        <v>0.0</v>
      </c>
      <c r="R115" s="1" t="s">
        <v>53</v>
      </c>
      <c r="S115" s="1" t="s">
        <v>35</v>
      </c>
      <c r="U115" s="1" t="s">
        <v>55</v>
      </c>
      <c r="V115" s="1">
        <v>0.0</v>
      </c>
      <c r="W115" s="1">
        <v>11.0</v>
      </c>
      <c r="X115" s="1">
        <v>11.0</v>
      </c>
      <c r="Y115" s="1" t="s">
        <v>56</v>
      </c>
      <c r="AA115" s="1" t="s">
        <v>38</v>
      </c>
      <c r="AB115" s="1">
        <v>0.0</v>
      </c>
      <c r="AC115" s="1">
        <v>0.0</v>
      </c>
      <c r="AD115" s="1">
        <v>0.0</v>
      </c>
      <c r="AE115" s="6">
        <v>0.3541666666666667</v>
      </c>
      <c r="AF115" s="1" t="s">
        <v>39</v>
      </c>
    </row>
    <row r="116">
      <c r="B116" s="2">
        <v>46190.0</v>
      </c>
      <c r="C116" s="3">
        <v>0.4583333333333333</v>
      </c>
      <c r="D116" s="3">
        <v>0.4791666666666667</v>
      </c>
      <c r="E116" s="3">
        <v>0.4583333333333333</v>
      </c>
      <c r="F116" s="3">
        <v>0.4722222222222222</v>
      </c>
      <c r="G116" s="1">
        <v>2.26691694635E11</v>
      </c>
      <c r="H116" s="1" t="s">
        <v>248</v>
      </c>
      <c r="J116" s="1" t="s">
        <v>32</v>
      </c>
      <c r="K116" s="4">
        <f>+523337221977</f>
        <v>523337221977</v>
      </c>
      <c r="L116" s="1" t="s">
        <v>249</v>
      </c>
      <c r="M116" s="1" t="s">
        <v>59</v>
      </c>
      <c r="N116" s="1" t="s">
        <v>250</v>
      </c>
      <c r="P116" s="1">
        <v>0.0</v>
      </c>
      <c r="Q116" s="1">
        <v>0.0</v>
      </c>
      <c r="R116" s="1" t="s">
        <v>45</v>
      </c>
      <c r="S116" s="1" t="s">
        <v>45</v>
      </c>
      <c r="U116" s="1" t="s">
        <v>55</v>
      </c>
      <c r="V116" s="1">
        <v>0.0</v>
      </c>
      <c r="W116" s="1">
        <v>20.0</v>
      </c>
      <c r="X116" s="1">
        <v>20.0</v>
      </c>
      <c r="Y116" s="1" t="s">
        <v>56</v>
      </c>
      <c r="AA116" s="1" t="s">
        <v>38</v>
      </c>
      <c r="AB116" s="1">
        <v>0.0</v>
      </c>
      <c r="AC116" s="1">
        <v>0.0</v>
      </c>
      <c r="AD116" s="1">
        <v>0.0</v>
      </c>
      <c r="AE116" s="6">
        <v>0.4583333333333333</v>
      </c>
      <c r="AF116" s="1" t="s">
        <v>39</v>
      </c>
    </row>
    <row r="117">
      <c r="B117" s="2">
        <v>46190.0</v>
      </c>
      <c r="C117" s="3">
        <v>0.375</v>
      </c>
      <c r="D117" s="3">
        <v>0.4166666666666667</v>
      </c>
      <c r="E117" s="3">
        <v>0.375</v>
      </c>
      <c r="F117" s="3">
        <v>0.44027777777777777</v>
      </c>
      <c r="G117" s="1">
        <v>9.4984620904E10</v>
      </c>
      <c r="H117" s="1" t="s">
        <v>234</v>
      </c>
      <c r="J117" s="1" t="s">
        <v>32</v>
      </c>
      <c r="K117" s="4">
        <f>+5213310479262</f>
        <v>5213310479262</v>
      </c>
      <c r="L117" s="1" t="s">
        <v>83</v>
      </c>
      <c r="M117" s="1" t="s">
        <v>48</v>
      </c>
      <c r="N117" s="1" t="s">
        <v>84</v>
      </c>
      <c r="P117" s="1">
        <v>0.0</v>
      </c>
      <c r="R117" s="1" t="s">
        <v>236</v>
      </c>
      <c r="S117" s="1" t="s">
        <v>236</v>
      </c>
      <c r="U117" s="1" t="s">
        <v>36</v>
      </c>
      <c r="V117" s="1">
        <v>0.0</v>
      </c>
      <c r="W117" s="1">
        <v>94.0</v>
      </c>
      <c r="X117" s="1">
        <v>94.0</v>
      </c>
      <c r="Y117" s="1" t="s">
        <v>50</v>
      </c>
      <c r="AA117" s="1" t="s">
        <v>38</v>
      </c>
      <c r="AB117" s="1">
        <v>0.0</v>
      </c>
      <c r="AC117" s="1">
        <v>0.0</v>
      </c>
      <c r="AD117" s="1">
        <v>0.0</v>
      </c>
      <c r="AE117" s="6">
        <v>0.375</v>
      </c>
      <c r="AF117" s="1" t="s">
        <v>39</v>
      </c>
    </row>
    <row r="118">
      <c r="B118" s="2">
        <v>46190.0</v>
      </c>
      <c r="C118" s="3">
        <v>0.5104166666666666</v>
      </c>
      <c r="D118" s="3">
        <v>0.5208333333333334</v>
      </c>
      <c r="E118" s="3">
        <v>0.5104166666666666</v>
      </c>
      <c r="F118" s="3">
        <v>0.4618055555555556</v>
      </c>
      <c r="G118" s="1">
        <v>2.24566613093E11</v>
      </c>
      <c r="H118" s="1" t="s">
        <v>251</v>
      </c>
      <c r="J118" s="1" t="s">
        <v>32</v>
      </c>
      <c r="K118" s="4">
        <f>+5213334548259</f>
        <v>5213334548259</v>
      </c>
      <c r="L118" s="1" t="s">
        <v>33</v>
      </c>
      <c r="M118" s="1" t="s">
        <v>34</v>
      </c>
      <c r="P118" s="1">
        <v>0.0</v>
      </c>
      <c r="R118" s="1" t="s">
        <v>35</v>
      </c>
      <c r="S118" s="1" t="s">
        <v>62</v>
      </c>
      <c r="U118" s="1" t="s">
        <v>36</v>
      </c>
      <c r="V118" s="1">
        <v>0.0</v>
      </c>
      <c r="W118" s="1">
        <v>-70.0</v>
      </c>
      <c r="X118" s="1">
        <v>-70.0</v>
      </c>
      <c r="Y118" s="1" t="s">
        <v>37</v>
      </c>
      <c r="AA118" s="1" t="s">
        <v>38</v>
      </c>
      <c r="AB118" s="1">
        <v>0.0</v>
      </c>
      <c r="AC118" s="1">
        <v>0.0</v>
      </c>
      <c r="AD118" s="1">
        <v>0.0</v>
      </c>
      <c r="AE118" s="6">
        <v>0.5104166666666666</v>
      </c>
      <c r="AF118" s="1" t="s">
        <v>39</v>
      </c>
    </row>
    <row r="119">
      <c r="B119" s="2">
        <v>46190.0</v>
      </c>
      <c r="C119" s="3">
        <v>0.5208333333333334</v>
      </c>
      <c r="D119" s="3">
        <v>0.53125</v>
      </c>
      <c r="E119" s="3">
        <v>0.5208333333333334</v>
      </c>
      <c r="F119" s="3">
        <v>0.4618055555555556</v>
      </c>
      <c r="G119" s="1">
        <v>2.24010540914E11</v>
      </c>
      <c r="H119" s="1" t="s">
        <v>252</v>
      </c>
      <c r="J119" s="1" t="s">
        <v>32</v>
      </c>
      <c r="K119" s="4">
        <f>+523313113080</f>
        <v>523313113080</v>
      </c>
      <c r="L119" s="1" t="s">
        <v>33</v>
      </c>
      <c r="M119" s="1" t="s">
        <v>34</v>
      </c>
      <c r="P119" s="1">
        <v>0.0</v>
      </c>
      <c r="R119" s="1" t="s">
        <v>35</v>
      </c>
      <c r="S119" s="1" t="s">
        <v>35</v>
      </c>
      <c r="U119" s="1" t="s">
        <v>55</v>
      </c>
      <c r="V119" s="1">
        <v>0.0</v>
      </c>
      <c r="W119" s="1">
        <v>-85.0</v>
      </c>
      <c r="X119" s="1">
        <v>-85.0</v>
      </c>
      <c r="Y119" s="1" t="s">
        <v>37</v>
      </c>
      <c r="AA119" s="1" t="s">
        <v>38</v>
      </c>
      <c r="AB119" s="1">
        <v>0.0</v>
      </c>
      <c r="AC119" s="1">
        <v>0.0</v>
      </c>
      <c r="AD119" s="1">
        <v>0.0</v>
      </c>
      <c r="AE119" s="6">
        <v>0.5208333333333334</v>
      </c>
      <c r="AF119" s="1" t="s">
        <v>39</v>
      </c>
    </row>
    <row r="120">
      <c r="B120" s="2">
        <v>46190.0</v>
      </c>
      <c r="C120" s="3">
        <v>0.40625</v>
      </c>
      <c r="D120" s="3">
        <v>0.4166666666666667</v>
      </c>
      <c r="E120" s="3">
        <v>0.40625</v>
      </c>
      <c r="F120" s="3">
        <v>0.4270833333333333</v>
      </c>
      <c r="G120" s="1">
        <v>1.90373782618E11</v>
      </c>
      <c r="H120" s="1" t="s">
        <v>253</v>
      </c>
      <c r="J120" s="1" t="s">
        <v>32</v>
      </c>
      <c r="K120" s="4">
        <f>+5215532736900</f>
        <v>5215532736900</v>
      </c>
      <c r="L120" s="1" t="s">
        <v>97</v>
      </c>
      <c r="M120" s="1" t="s">
        <v>42</v>
      </c>
      <c r="N120" s="1" t="s">
        <v>254</v>
      </c>
      <c r="P120" s="5">
        <v>32906.25</v>
      </c>
      <c r="R120" s="1" t="s">
        <v>53</v>
      </c>
      <c r="S120" s="1" t="s">
        <v>70</v>
      </c>
      <c r="U120" s="1" t="s">
        <v>36</v>
      </c>
      <c r="V120" s="1">
        <v>0.0</v>
      </c>
      <c r="W120" s="1">
        <v>30.0</v>
      </c>
      <c r="X120" s="1">
        <v>30.0</v>
      </c>
      <c r="Y120" s="1" t="s">
        <v>56</v>
      </c>
      <c r="AA120" s="1" t="s">
        <v>38</v>
      </c>
      <c r="AB120" s="1">
        <v>0.0</v>
      </c>
      <c r="AC120" s="1">
        <v>0.0</v>
      </c>
      <c r="AD120" s="1">
        <v>0.0</v>
      </c>
      <c r="AE120" s="6">
        <v>0.40625</v>
      </c>
      <c r="AF120" s="1" t="s">
        <v>39</v>
      </c>
    </row>
    <row r="121">
      <c r="B121" s="2">
        <v>46190.0</v>
      </c>
      <c r="C121" s="3">
        <v>0.3541666666666667</v>
      </c>
      <c r="D121" s="3">
        <v>0.375</v>
      </c>
      <c r="E121" s="3">
        <v>0.3541666666666667</v>
      </c>
      <c r="F121" s="3">
        <v>0.36736111111111114</v>
      </c>
      <c r="G121" s="1">
        <v>1.64157311103E11</v>
      </c>
      <c r="H121" s="1" t="s">
        <v>163</v>
      </c>
      <c r="J121" s="1" t="s">
        <v>32</v>
      </c>
      <c r="K121" s="4">
        <f>+523314665402</f>
        <v>523314665402</v>
      </c>
      <c r="L121" s="1" t="s">
        <v>66</v>
      </c>
      <c r="M121" s="1" t="s">
        <v>34</v>
      </c>
      <c r="N121" s="1" t="s">
        <v>67</v>
      </c>
      <c r="P121" s="5">
        <v>0.0</v>
      </c>
      <c r="Q121" s="1">
        <v>0.0</v>
      </c>
      <c r="R121" s="1" t="s">
        <v>45</v>
      </c>
      <c r="S121" s="1" t="s">
        <v>45</v>
      </c>
      <c r="U121" s="1" t="s">
        <v>164</v>
      </c>
      <c r="V121" s="1">
        <v>0.0</v>
      </c>
      <c r="W121" s="1">
        <v>19.0</v>
      </c>
      <c r="X121" s="1">
        <v>19.0</v>
      </c>
      <c r="Y121" s="1" t="s">
        <v>50</v>
      </c>
      <c r="AA121" s="1" t="s">
        <v>38</v>
      </c>
      <c r="AB121" s="1">
        <v>0.0</v>
      </c>
      <c r="AC121" s="1">
        <v>0.0</v>
      </c>
      <c r="AD121" s="1">
        <v>0.0</v>
      </c>
      <c r="AE121" s="6">
        <v>0.3541666666666667</v>
      </c>
      <c r="AF121" s="1" t="s">
        <v>39</v>
      </c>
    </row>
    <row r="122">
      <c r="B122" s="2">
        <v>46190.0</v>
      </c>
      <c r="C122" s="3">
        <v>0.5</v>
      </c>
      <c r="D122" s="3">
        <v>0.5208333333333334</v>
      </c>
      <c r="E122" s="3">
        <v>0.5</v>
      </c>
      <c r="F122" s="3">
        <v>0.5090277777777777</v>
      </c>
      <c r="G122" s="1">
        <v>1.22822030101E11</v>
      </c>
      <c r="H122" s="1" t="s">
        <v>96</v>
      </c>
      <c r="J122" s="1" t="s">
        <v>32</v>
      </c>
      <c r="K122" s="1">
        <v>9.167431507E9</v>
      </c>
      <c r="L122" s="1" t="s">
        <v>66</v>
      </c>
      <c r="M122" s="1" t="s">
        <v>34</v>
      </c>
      <c r="N122" s="1" t="s">
        <v>67</v>
      </c>
      <c r="P122" s="5">
        <v>15187.5</v>
      </c>
      <c r="R122" s="1" t="s">
        <v>45</v>
      </c>
      <c r="S122" s="1" t="s">
        <v>45</v>
      </c>
      <c r="U122" s="1" t="s">
        <v>55</v>
      </c>
      <c r="V122" s="1">
        <v>0.0</v>
      </c>
      <c r="W122" s="1">
        <v>13.0</v>
      </c>
      <c r="X122" s="1">
        <v>13.0</v>
      </c>
      <c r="Y122" s="1" t="s">
        <v>50</v>
      </c>
      <c r="AB122" s="1">
        <v>0.0</v>
      </c>
      <c r="AC122" s="1">
        <v>0.0</v>
      </c>
      <c r="AD122" s="1">
        <v>0.0</v>
      </c>
      <c r="AE122" s="6">
        <v>0.5</v>
      </c>
      <c r="AF122" s="1" t="s">
        <v>39</v>
      </c>
    </row>
    <row r="123">
      <c r="B123" s="2">
        <v>46190.0</v>
      </c>
      <c r="C123" s="3">
        <v>0.3333333333333333</v>
      </c>
      <c r="D123" s="3">
        <v>0.3541666666666667</v>
      </c>
      <c r="E123" s="3">
        <v>0.3333333333333333</v>
      </c>
      <c r="F123" s="3">
        <v>0.3541666666666667</v>
      </c>
      <c r="G123" s="1">
        <v>2.08377036386E11</v>
      </c>
      <c r="H123" s="1" t="s">
        <v>161</v>
      </c>
      <c r="J123" s="1" t="s">
        <v>32</v>
      </c>
      <c r="K123" s="4">
        <f>+523326153847</f>
        <v>523326153847</v>
      </c>
      <c r="L123" s="1" t="s">
        <v>66</v>
      </c>
      <c r="M123" s="1" t="s">
        <v>34</v>
      </c>
      <c r="N123" s="1" t="s">
        <v>67</v>
      </c>
      <c r="P123" s="5">
        <v>0.0</v>
      </c>
      <c r="Q123" s="1">
        <v>0.0</v>
      </c>
      <c r="R123" s="1" t="s">
        <v>70</v>
      </c>
      <c r="S123" s="1" t="s">
        <v>70</v>
      </c>
      <c r="U123" s="1" t="s">
        <v>55</v>
      </c>
      <c r="V123" s="1">
        <v>0.0</v>
      </c>
      <c r="W123" s="1">
        <v>30.0</v>
      </c>
      <c r="X123" s="1">
        <v>30.0</v>
      </c>
      <c r="Y123" s="1" t="s">
        <v>50</v>
      </c>
      <c r="AA123" s="1" t="s">
        <v>38</v>
      </c>
      <c r="AB123" s="1">
        <v>0.0</v>
      </c>
      <c r="AC123" s="1">
        <v>0.0</v>
      </c>
      <c r="AD123" s="1">
        <v>0.0</v>
      </c>
      <c r="AE123" s="6">
        <v>0.3333333333333333</v>
      </c>
      <c r="AF123" s="1" t="s">
        <v>39</v>
      </c>
    </row>
    <row r="124">
      <c r="B124" s="2">
        <v>46190.0</v>
      </c>
      <c r="C124" s="3">
        <v>0.6666666666666666</v>
      </c>
      <c r="D124" s="3">
        <v>0.7083333333333334</v>
      </c>
      <c r="E124" s="3">
        <v>0.6666666666666666</v>
      </c>
      <c r="F124" s="3">
        <v>0.68125</v>
      </c>
      <c r="G124" s="1">
        <v>2.27630432915E11</v>
      </c>
      <c r="H124" s="1" t="s">
        <v>255</v>
      </c>
      <c r="J124" s="1" t="s">
        <v>32</v>
      </c>
      <c r="K124" s="4">
        <f>+526863557338</f>
        <v>526863557338</v>
      </c>
      <c r="L124" s="1" t="s">
        <v>205</v>
      </c>
      <c r="M124" s="1" t="s">
        <v>48</v>
      </c>
      <c r="N124" s="1" t="s">
        <v>256</v>
      </c>
      <c r="P124" s="1">
        <v>0.0</v>
      </c>
      <c r="Q124" s="1">
        <v>0.0</v>
      </c>
      <c r="R124" s="1" t="s">
        <v>35</v>
      </c>
      <c r="S124" s="1" t="s">
        <v>35</v>
      </c>
      <c r="U124" s="1" t="s">
        <v>36</v>
      </c>
      <c r="V124" s="1">
        <v>0.0</v>
      </c>
      <c r="W124" s="1">
        <v>21.0</v>
      </c>
      <c r="X124" s="1">
        <v>21.0</v>
      </c>
      <c r="Y124" s="1" t="s">
        <v>50</v>
      </c>
      <c r="AA124" s="1" t="s">
        <v>38</v>
      </c>
      <c r="AB124" s="1">
        <v>0.0</v>
      </c>
      <c r="AC124" s="1">
        <v>0.0</v>
      </c>
      <c r="AD124" s="1">
        <v>0.0</v>
      </c>
      <c r="AE124" s="6">
        <v>0.6666666666666666</v>
      </c>
      <c r="AF124" s="1" t="s">
        <v>39</v>
      </c>
    </row>
    <row r="125">
      <c r="B125" s="2">
        <v>46190.0</v>
      </c>
      <c r="C125" s="3">
        <v>0.3541666666666667</v>
      </c>
      <c r="D125" s="3">
        <v>0.3645833333333333</v>
      </c>
      <c r="E125" s="3">
        <v>0.3541666666666667</v>
      </c>
      <c r="F125" s="3">
        <v>0.36041666666666666</v>
      </c>
      <c r="G125" s="1">
        <v>2.22131767632E11</v>
      </c>
      <c r="H125" s="1" t="s">
        <v>257</v>
      </c>
      <c r="J125" s="1" t="s">
        <v>32</v>
      </c>
      <c r="K125" s="4">
        <f>+523345188960</f>
        <v>523345188960</v>
      </c>
      <c r="L125" s="1" t="s">
        <v>97</v>
      </c>
      <c r="M125" s="1" t="s">
        <v>42</v>
      </c>
      <c r="N125" s="1" t="s">
        <v>258</v>
      </c>
      <c r="P125" s="1">
        <v>0.0</v>
      </c>
      <c r="Q125" s="1">
        <v>0.0</v>
      </c>
      <c r="R125" s="1" t="s">
        <v>44</v>
      </c>
      <c r="S125" s="1" t="s">
        <v>35</v>
      </c>
      <c r="U125" s="1" t="s">
        <v>55</v>
      </c>
      <c r="V125" s="1">
        <v>0.0</v>
      </c>
      <c r="W125" s="1">
        <v>9.0</v>
      </c>
      <c r="X125" s="1">
        <v>9.0</v>
      </c>
      <c r="Y125" s="1" t="s">
        <v>56</v>
      </c>
      <c r="AA125" s="1" t="s">
        <v>38</v>
      </c>
      <c r="AB125" s="1">
        <v>0.0</v>
      </c>
      <c r="AC125" s="1">
        <v>0.0</v>
      </c>
      <c r="AD125" s="1">
        <v>0.0</v>
      </c>
      <c r="AE125" s="6">
        <v>0.3541666666666667</v>
      </c>
      <c r="AF125" s="1" t="s">
        <v>39</v>
      </c>
    </row>
    <row r="126">
      <c r="B126" s="2">
        <v>46189.0</v>
      </c>
      <c r="C126" s="3">
        <v>0.6875</v>
      </c>
      <c r="D126" s="3">
        <v>0.6979166666666666</v>
      </c>
      <c r="E126" s="3">
        <v>0.5381944444444444</v>
      </c>
      <c r="F126" s="3">
        <v>0.56875</v>
      </c>
      <c r="H126" s="1" t="s">
        <v>259</v>
      </c>
      <c r="J126" s="1" t="s">
        <v>32</v>
      </c>
      <c r="K126" s="1">
        <v>3.320262463E9</v>
      </c>
      <c r="L126" s="1" t="s">
        <v>33</v>
      </c>
      <c r="M126" s="1" t="s">
        <v>34</v>
      </c>
      <c r="N126" s="1" t="s">
        <v>260</v>
      </c>
      <c r="P126" s="5">
        <v>0.0</v>
      </c>
      <c r="Q126" s="1">
        <v>0.0</v>
      </c>
      <c r="R126" s="1" t="s">
        <v>45</v>
      </c>
      <c r="S126" s="1" t="s">
        <v>45</v>
      </c>
      <c r="U126" s="1" t="s">
        <v>36</v>
      </c>
      <c r="V126" s="1">
        <v>0.0</v>
      </c>
      <c r="W126" s="1">
        <v>44.0</v>
      </c>
      <c r="X126" s="1">
        <v>44.0</v>
      </c>
      <c r="Y126" s="1" t="s">
        <v>56</v>
      </c>
      <c r="AA126" s="1" t="s">
        <v>38</v>
      </c>
      <c r="AB126" s="1">
        <v>0.0</v>
      </c>
      <c r="AC126" s="1">
        <v>0.0</v>
      </c>
      <c r="AD126" s="1">
        <v>0.0</v>
      </c>
      <c r="AE126" s="6">
        <v>0.5381944444444444</v>
      </c>
      <c r="AF126" s="1" t="s">
        <v>39</v>
      </c>
    </row>
    <row r="127">
      <c r="B127" s="2">
        <v>46189.0</v>
      </c>
      <c r="C127" s="3">
        <v>0.4791666666666667</v>
      </c>
      <c r="D127" s="3">
        <v>0.5104166666666666</v>
      </c>
      <c r="E127" s="3">
        <v>0.4791666666666667</v>
      </c>
      <c r="F127" s="3">
        <v>0.5284722222222222</v>
      </c>
      <c r="H127" s="1" t="s">
        <v>261</v>
      </c>
      <c r="J127" s="1" t="s">
        <v>32</v>
      </c>
      <c r="L127" s="1" t="s">
        <v>223</v>
      </c>
      <c r="M127" s="1" t="s">
        <v>42</v>
      </c>
      <c r="N127" s="1" t="s">
        <v>262</v>
      </c>
      <c r="P127" s="1">
        <v>0.0</v>
      </c>
      <c r="R127" s="1" t="s">
        <v>53</v>
      </c>
      <c r="U127" s="1" t="s">
        <v>55</v>
      </c>
      <c r="V127" s="1">
        <v>0.0</v>
      </c>
      <c r="W127" s="1">
        <v>71.0</v>
      </c>
      <c r="X127" s="1">
        <v>71.0</v>
      </c>
      <c r="Y127" s="1" t="s">
        <v>56</v>
      </c>
      <c r="AA127" s="1" t="s">
        <v>263</v>
      </c>
      <c r="AB127" s="1">
        <v>0.0</v>
      </c>
      <c r="AC127" s="1">
        <v>0.0</v>
      </c>
      <c r="AD127" s="1">
        <v>0.0</v>
      </c>
      <c r="AE127" s="6">
        <v>0.4791666666666667</v>
      </c>
      <c r="AF127" s="1" t="s">
        <v>39</v>
      </c>
    </row>
    <row r="128">
      <c r="B128" s="2">
        <v>46189.0</v>
      </c>
      <c r="C128" s="3">
        <v>0.4583333333333333</v>
      </c>
      <c r="D128" s="3">
        <v>0.5</v>
      </c>
      <c r="E128" s="3">
        <v>0.4583333333333333</v>
      </c>
      <c r="F128" s="3">
        <v>0.5118055555555555</v>
      </c>
      <c r="G128" s="1">
        <v>2.20498777401E11</v>
      </c>
      <c r="H128" s="1" t="s">
        <v>61</v>
      </c>
      <c r="J128" s="1" t="s">
        <v>32</v>
      </c>
      <c r="K128" s="4" t="str">
        <f>+1 469 682 8679</f>
        <v>#ERROR!</v>
      </c>
      <c r="L128" s="1" t="s">
        <v>241</v>
      </c>
      <c r="M128" s="1" t="s">
        <v>34</v>
      </c>
      <c r="P128" s="5">
        <v>28050.0</v>
      </c>
      <c r="R128" s="1" t="s">
        <v>62</v>
      </c>
      <c r="S128" s="1" t="s">
        <v>62</v>
      </c>
      <c r="U128" s="1" t="s">
        <v>55</v>
      </c>
      <c r="V128" s="1">
        <v>0.0</v>
      </c>
      <c r="W128" s="1">
        <v>77.0</v>
      </c>
      <c r="X128" s="1">
        <v>77.0</v>
      </c>
      <c r="Y128" s="1" t="s">
        <v>78</v>
      </c>
      <c r="AA128" s="1" t="s">
        <v>64</v>
      </c>
      <c r="AB128" s="1">
        <v>0.0</v>
      </c>
      <c r="AC128" s="1">
        <v>0.0</v>
      </c>
      <c r="AD128" s="1">
        <v>0.0</v>
      </c>
      <c r="AE128" s="6">
        <v>0.4583333333333333</v>
      </c>
      <c r="AF128" s="1" t="s">
        <v>39</v>
      </c>
    </row>
    <row r="129">
      <c r="B129" s="2">
        <v>46189.0</v>
      </c>
      <c r="C129" s="3">
        <v>0.6458333333333334</v>
      </c>
      <c r="D129" s="3">
        <v>0.6666666666666666</v>
      </c>
      <c r="E129" s="3">
        <v>0.6458333333333334</v>
      </c>
      <c r="F129" s="3">
        <v>0.6652777777777777</v>
      </c>
      <c r="G129" s="1">
        <v>2.19005663629E11</v>
      </c>
      <c r="H129" s="1" t="s">
        <v>264</v>
      </c>
      <c r="J129" s="1" t="s">
        <v>32</v>
      </c>
      <c r="K129" s="4">
        <f>+523311436678</f>
        <v>523311436678</v>
      </c>
      <c r="L129" s="1" t="s">
        <v>131</v>
      </c>
      <c r="M129" s="1" t="s">
        <v>34</v>
      </c>
      <c r="P129" s="1">
        <v>0.0</v>
      </c>
      <c r="R129" s="1" t="s">
        <v>35</v>
      </c>
      <c r="S129" s="1" t="s">
        <v>35</v>
      </c>
      <c r="U129" s="1" t="s">
        <v>55</v>
      </c>
      <c r="V129" s="1">
        <v>0.0</v>
      </c>
      <c r="W129" s="1">
        <v>28.0</v>
      </c>
      <c r="X129" s="1">
        <v>28.0</v>
      </c>
      <c r="Y129" s="1" t="s">
        <v>37</v>
      </c>
      <c r="AA129" s="1" t="s">
        <v>38</v>
      </c>
      <c r="AB129" s="1">
        <v>0.0</v>
      </c>
      <c r="AC129" s="1">
        <v>0.0</v>
      </c>
      <c r="AD129" s="1">
        <v>0.0</v>
      </c>
      <c r="AE129" s="6">
        <v>0.6458333333333334</v>
      </c>
      <c r="AF129" s="1" t="s">
        <v>39</v>
      </c>
    </row>
    <row r="130">
      <c r="B130" s="2">
        <v>46189.0</v>
      </c>
      <c r="C130" s="3">
        <v>0.625</v>
      </c>
      <c r="D130" s="3">
        <v>0.6458333333333334</v>
      </c>
      <c r="E130" s="3">
        <v>0.625</v>
      </c>
      <c r="F130" s="3">
        <v>0.6694444444444444</v>
      </c>
      <c r="G130" s="1">
        <v>2.24060802694E11</v>
      </c>
      <c r="H130" s="1" t="s">
        <v>265</v>
      </c>
      <c r="J130" s="1" t="s">
        <v>32</v>
      </c>
      <c r="K130" s="4" t="str">
        <f>+1 602 638 8070</f>
        <v>#ERROR!</v>
      </c>
      <c r="L130" s="1" t="s">
        <v>131</v>
      </c>
      <c r="M130" s="1" t="s">
        <v>34</v>
      </c>
      <c r="P130" s="5">
        <v>26400.0</v>
      </c>
      <c r="R130" s="1" t="s">
        <v>35</v>
      </c>
      <c r="S130" s="1" t="s">
        <v>35</v>
      </c>
      <c r="U130" s="1" t="s">
        <v>55</v>
      </c>
      <c r="V130" s="1">
        <v>0.0</v>
      </c>
      <c r="W130" s="1">
        <v>64.0</v>
      </c>
      <c r="X130" s="1">
        <v>64.0</v>
      </c>
      <c r="Y130" s="1" t="s">
        <v>37</v>
      </c>
      <c r="AA130" s="1" t="s">
        <v>64</v>
      </c>
      <c r="AB130" s="1">
        <v>0.0</v>
      </c>
      <c r="AC130" s="1">
        <v>0.0</v>
      </c>
      <c r="AD130" s="1">
        <v>0.0</v>
      </c>
      <c r="AE130" s="6">
        <v>0.625</v>
      </c>
      <c r="AF130" s="1" t="s">
        <v>39</v>
      </c>
    </row>
    <row r="131">
      <c r="B131" s="2">
        <v>46189.0</v>
      </c>
      <c r="C131" s="3">
        <v>0.6284722222222222</v>
      </c>
      <c r="D131" s="3">
        <v>0.6354166666666666</v>
      </c>
      <c r="E131" s="3">
        <v>0.6284722222222222</v>
      </c>
      <c r="F131" s="3">
        <v>0.6631944444444444</v>
      </c>
      <c r="G131" s="1">
        <v>2.27588513296E11</v>
      </c>
      <c r="H131" s="1" t="s">
        <v>242</v>
      </c>
      <c r="J131" s="1" t="s">
        <v>32</v>
      </c>
      <c r="K131" s="4">
        <f>+523325370344</f>
        <v>523325370344</v>
      </c>
      <c r="L131" s="1" t="s">
        <v>41</v>
      </c>
      <c r="M131" s="1" t="s">
        <v>42</v>
      </c>
      <c r="N131" s="1" t="s">
        <v>216</v>
      </c>
      <c r="P131" s="5">
        <v>0.0</v>
      </c>
      <c r="R131" s="1" t="s">
        <v>44</v>
      </c>
      <c r="S131" s="1" t="s">
        <v>70</v>
      </c>
      <c r="U131" s="1" t="s">
        <v>55</v>
      </c>
      <c r="V131" s="1">
        <v>0.0</v>
      </c>
      <c r="W131" s="1">
        <v>50.0</v>
      </c>
      <c r="X131" s="1">
        <v>50.0</v>
      </c>
      <c r="Y131" s="1" t="s">
        <v>155</v>
      </c>
      <c r="AA131" s="1" t="s">
        <v>38</v>
      </c>
      <c r="AB131" s="1">
        <v>0.0</v>
      </c>
      <c r="AC131" s="1">
        <v>0.0</v>
      </c>
      <c r="AD131" s="1">
        <v>0.0</v>
      </c>
      <c r="AE131" s="6">
        <v>0.6284722222222222</v>
      </c>
      <c r="AF131" s="1" t="s">
        <v>39</v>
      </c>
    </row>
    <row r="132">
      <c r="B132" s="2">
        <v>46189.0</v>
      </c>
      <c r="C132" s="3">
        <v>0.75</v>
      </c>
      <c r="D132" s="3">
        <v>0.7708333333333334</v>
      </c>
      <c r="E132" s="3">
        <v>0.75</v>
      </c>
      <c r="F132" s="3">
        <v>0.75</v>
      </c>
      <c r="G132" s="1">
        <v>2.26188079977E11</v>
      </c>
      <c r="H132" s="1" t="s">
        <v>266</v>
      </c>
      <c r="J132" s="1" t="s">
        <v>32</v>
      </c>
      <c r="K132" s="4">
        <f>+12623449020</f>
        <v>12623449020</v>
      </c>
      <c r="L132" s="1" t="s">
        <v>131</v>
      </c>
      <c r="M132" s="1" t="s">
        <v>34</v>
      </c>
      <c r="P132" s="1">
        <v>0.0</v>
      </c>
      <c r="R132" s="1" t="s">
        <v>35</v>
      </c>
      <c r="S132" s="1" t="s">
        <v>35</v>
      </c>
      <c r="U132" s="1" t="s">
        <v>55</v>
      </c>
      <c r="V132" s="1">
        <v>0.0</v>
      </c>
      <c r="W132" s="1">
        <v>0.0</v>
      </c>
      <c r="X132" s="1">
        <v>0.0</v>
      </c>
      <c r="Y132" s="1" t="s">
        <v>37</v>
      </c>
      <c r="AA132" s="1" t="s">
        <v>64</v>
      </c>
      <c r="AB132" s="1">
        <v>0.0</v>
      </c>
      <c r="AC132" s="1">
        <v>0.0</v>
      </c>
      <c r="AD132" s="1">
        <v>0.0</v>
      </c>
      <c r="AE132" s="6">
        <v>0.75</v>
      </c>
      <c r="AF132" s="1" t="s">
        <v>39</v>
      </c>
    </row>
    <row r="133">
      <c r="B133" s="2">
        <v>46189.0</v>
      </c>
      <c r="C133" s="3">
        <v>0.6666666666666666</v>
      </c>
      <c r="D133" s="3">
        <v>0.7083333333333334</v>
      </c>
      <c r="E133" s="3">
        <v>0.6666666666666666</v>
      </c>
      <c r="F133" s="3">
        <v>0.6729166666666667</v>
      </c>
      <c r="G133" s="1">
        <v>2.28614521218E11</v>
      </c>
      <c r="H133" s="1" t="s">
        <v>238</v>
      </c>
      <c r="J133" s="1" t="s">
        <v>32</v>
      </c>
      <c r="K133" s="4">
        <f>+5213326376390</f>
        <v>5213326376390</v>
      </c>
      <c r="L133" s="1" t="s">
        <v>83</v>
      </c>
      <c r="M133" s="1" t="s">
        <v>48</v>
      </c>
      <c r="N133" s="1" t="s">
        <v>267</v>
      </c>
      <c r="P133" s="5">
        <v>0.0</v>
      </c>
      <c r="R133" s="1" t="s">
        <v>35</v>
      </c>
      <c r="S133" s="1" t="s">
        <v>35</v>
      </c>
      <c r="U133" s="1" t="s">
        <v>36</v>
      </c>
      <c r="V133" s="1">
        <v>0.0</v>
      </c>
      <c r="W133" s="1">
        <v>9.0</v>
      </c>
      <c r="X133" s="1">
        <v>9.0</v>
      </c>
      <c r="Y133" s="1" t="s">
        <v>50</v>
      </c>
      <c r="AA133" s="1" t="s">
        <v>38</v>
      </c>
      <c r="AB133" s="1">
        <v>0.0</v>
      </c>
      <c r="AC133" s="1">
        <v>0.0</v>
      </c>
      <c r="AD133" s="1">
        <v>0.0</v>
      </c>
      <c r="AE133" s="6">
        <v>0.6666666666666666</v>
      </c>
      <c r="AF133" s="1" t="s">
        <v>39</v>
      </c>
    </row>
    <row r="134">
      <c r="B134" s="2">
        <v>46189.0</v>
      </c>
      <c r="C134" s="3">
        <v>0.75</v>
      </c>
      <c r="D134" s="3">
        <v>0.7569444444444444</v>
      </c>
      <c r="E134" s="3">
        <v>0.75</v>
      </c>
      <c r="F134" s="3">
        <v>0.7736111111111111</v>
      </c>
      <c r="G134" s="1">
        <v>2.28561444478E11</v>
      </c>
      <c r="H134" s="1" t="s">
        <v>211</v>
      </c>
      <c r="J134" s="1" t="s">
        <v>32</v>
      </c>
      <c r="K134" s="4">
        <f t="shared" ref="K134:K135" si="5">+5216673042062</f>
        <v>5216673042062</v>
      </c>
      <c r="L134" s="1" t="s">
        <v>41</v>
      </c>
      <c r="M134" s="1" t="s">
        <v>42</v>
      </c>
      <c r="N134" s="1" t="s">
        <v>268</v>
      </c>
      <c r="P134" s="1">
        <v>0.0</v>
      </c>
      <c r="R134" s="1" t="s">
        <v>44</v>
      </c>
      <c r="S134" s="1" t="s">
        <v>70</v>
      </c>
      <c r="U134" s="1" t="s">
        <v>36</v>
      </c>
      <c r="V134" s="1">
        <v>0.0</v>
      </c>
      <c r="W134" s="1">
        <v>34.0</v>
      </c>
      <c r="X134" s="1">
        <v>34.0</v>
      </c>
      <c r="Y134" s="1" t="s">
        <v>81</v>
      </c>
      <c r="AA134" s="1" t="s">
        <v>38</v>
      </c>
      <c r="AB134" s="1">
        <v>0.0</v>
      </c>
      <c r="AC134" s="1">
        <v>0.0</v>
      </c>
      <c r="AD134" s="1">
        <v>0.0</v>
      </c>
      <c r="AE134" s="6">
        <v>0.75</v>
      </c>
      <c r="AF134" s="1" t="s">
        <v>39</v>
      </c>
    </row>
    <row r="135">
      <c r="B135" s="2">
        <v>46189.0</v>
      </c>
      <c r="C135" s="3">
        <v>0.75</v>
      </c>
      <c r="D135" s="3">
        <v>0.7916666666666666</v>
      </c>
      <c r="E135" s="3">
        <v>0.75</v>
      </c>
      <c r="F135" s="3">
        <v>0.7819444444444444</v>
      </c>
      <c r="G135" s="1">
        <v>2.28561444478E11</v>
      </c>
      <c r="H135" s="1" t="s">
        <v>211</v>
      </c>
      <c r="J135" s="1" t="s">
        <v>32</v>
      </c>
      <c r="K135" s="4">
        <f t="shared" si="5"/>
        <v>5216673042062</v>
      </c>
      <c r="L135" s="1" t="s">
        <v>83</v>
      </c>
      <c r="M135" s="1" t="s">
        <v>48</v>
      </c>
      <c r="N135" s="1" t="s">
        <v>269</v>
      </c>
      <c r="P135" s="5">
        <v>0.0</v>
      </c>
      <c r="R135" s="1" t="s">
        <v>70</v>
      </c>
      <c r="S135" s="1" t="s">
        <v>70</v>
      </c>
      <c r="U135" s="1" t="s">
        <v>36</v>
      </c>
      <c r="V135" s="1">
        <v>0.0</v>
      </c>
      <c r="W135" s="1">
        <v>46.0</v>
      </c>
      <c r="X135" s="1">
        <v>46.0</v>
      </c>
      <c r="Y135" s="1" t="s">
        <v>50</v>
      </c>
      <c r="AA135" s="1" t="s">
        <v>38</v>
      </c>
      <c r="AB135" s="1">
        <v>1.0</v>
      </c>
      <c r="AC135" s="1">
        <v>0.0</v>
      </c>
      <c r="AD135" s="1">
        <v>0.0</v>
      </c>
      <c r="AE135" s="6">
        <v>0.75</v>
      </c>
      <c r="AF135" s="1" t="s">
        <v>39</v>
      </c>
    </row>
    <row r="136">
      <c r="B136" s="2">
        <v>46189.0</v>
      </c>
      <c r="C136" s="3">
        <v>0.3958333333333333</v>
      </c>
      <c r="D136" s="3">
        <v>0.4375</v>
      </c>
      <c r="E136" s="3">
        <v>0.3958333333333333</v>
      </c>
      <c r="F136" s="3">
        <v>0.43819444444444444</v>
      </c>
      <c r="H136" s="1" t="s">
        <v>270</v>
      </c>
      <c r="J136" s="1" t="s">
        <v>32</v>
      </c>
      <c r="K136" s="1" t="s">
        <v>271</v>
      </c>
      <c r="L136" s="1" t="s">
        <v>272</v>
      </c>
      <c r="M136" s="1" t="s">
        <v>87</v>
      </c>
      <c r="P136" s="1">
        <v>0.0</v>
      </c>
      <c r="Q136" s="1">
        <v>0.0</v>
      </c>
      <c r="R136" s="1" t="s">
        <v>53</v>
      </c>
      <c r="S136" s="1" t="s">
        <v>273</v>
      </c>
      <c r="U136" s="1" t="s">
        <v>55</v>
      </c>
      <c r="V136" s="1">
        <v>0.0</v>
      </c>
      <c r="W136" s="1">
        <v>61.0</v>
      </c>
      <c r="X136" s="1">
        <v>61.0</v>
      </c>
      <c r="Y136" s="1" t="s">
        <v>56</v>
      </c>
      <c r="AA136" s="1" t="s">
        <v>38</v>
      </c>
      <c r="AB136" s="1">
        <v>0.0</v>
      </c>
      <c r="AC136" s="1">
        <v>0.0</v>
      </c>
      <c r="AD136" s="1">
        <v>0.0</v>
      </c>
      <c r="AE136" s="6">
        <v>0.3958333333333333</v>
      </c>
      <c r="AF136" s="1" t="s">
        <v>39</v>
      </c>
    </row>
    <row r="137">
      <c r="B137" s="2">
        <v>46189.0</v>
      </c>
      <c r="C137" s="3">
        <v>0.3958333333333333</v>
      </c>
      <c r="D137" s="3">
        <v>0.4270833333333333</v>
      </c>
      <c r="E137" s="3">
        <v>0.3958333333333333</v>
      </c>
      <c r="F137" s="3">
        <v>0.3923611111111111</v>
      </c>
      <c r="H137" s="1" t="s">
        <v>157</v>
      </c>
      <c r="J137" s="1" t="s">
        <v>32</v>
      </c>
      <c r="K137" s="4">
        <f>+52-33-14-665402</f>
        <v>-665397</v>
      </c>
      <c r="L137" s="1" t="s">
        <v>247</v>
      </c>
      <c r="M137" s="1" t="s">
        <v>42</v>
      </c>
      <c r="P137" s="1">
        <v>0.0</v>
      </c>
      <c r="Q137" s="1">
        <v>0.0</v>
      </c>
      <c r="R137" s="1" t="s">
        <v>53</v>
      </c>
      <c r="S137" s="1" t="s">
        <v>45</v>
      </c>
      <c r="U137" s="1" t="s">
        <v>55</v>
      </c>
      <c r="V137" s="1">
        <v>0.0</v>
      </c>
      <c r="W137" s="1">
        <v>-5.0</v>
      </c>
      <c r="X137" s="1">
        <v>-5.0</v>
      </c>
      <c r="Y137" s="1" t="s">
        <v>56</v>
      </c>
      <c r="AA137" s="1" t="s">
        <v>160</v>
      </c>
      <c r="AB137" s="1">
        <v>0.0</v>
      </c>
      <c r="AC137" s="1">
        <v>0.0</v>
      </c>
      <c r="AD137" s="1">
        <v>0.0</v>
      </c>
      <c r="AE137" s="6">
        <v>0.3958333333333333</v>
      </c>
      <c r="AF137" s="1" t="s">
        <v>39</v>
      </c>
    </row>
    <row r="138">
      <c r="B138" s="2">
        <v>46189.0</v>
      </c>
      <c r="C138" s="3">
        <v>0.375</v>
      </c>
      <c r="D138" s="3">
        <v>0.3958333333333333</v>
      </c>
      <c r="E138" s="3">
        <v>0.375</v>
      </c>
      <c r="F138" s="3">
        <v>0.39375</v>
      </c>
      <c r="H138" s="1" t="s">
        <v>274</v>
      </c>
      <c r="J138" s="1" t="s">
        <v>32</v>
      </c>
      <c r="K138" s="1">
        <v>3.311156318E9</v>
      </c>
      <c r="L138" s="1" t="s">
        <v>90</v>
      </c>
      <c r="M138" s="1" t="s">
        <v>87</v>
      </c>
      <c r="N138" s="1" t="s">
        <v>275</v>
      </c>
      <c r="P138" s="5">
        <v>14000.0</v>
      </c>
      <c r="Q138" s="1">
        <v>0.0</v>
      </c>
      <c r="R138" s="1" t="s">
        <v>53</v>
      </c>
      <c r="S138" s="1" t="s">
        <v>273</v>
      </c>
      <c r="U138" s="1" t="s">
        <v>55</v>
      </c>
      <c r="V138" s="1">
        <v>0.0</v>
      </c>
      <c r="W138" s="1">
        <v>27.0</v>
      </c>
      <c r="X138" s="1">
        <v>27.0</v>
      </c>
      <c r="Y138" s="1" t="s">
        <v>78</v>
      </c>
      <c r="AA138" s="1" t="s">
        <v>38</v>
      </c>
      <c r="AB138" s="1">
        <v>0.0</v>
      </c>
      <c r="AC138" s="1">
        <v>0.0</v>
      </c>
      <c r="AD138" s="1">
        <v>0.0</v>
      </c>
      <c r="AE138" s="6">
        <v>0.375</v>
      </c>
      <c r="AF138" s="1" t="s">
        <v>39</v>
      </c>
    </row>
    <row r="139">
      <c r="B139" s="2">
        <v>46189.0</v>
      </c>
      <c r="C139" s="3">
        <v>0.4791666666666667</v>
      </c>
      <c r="D139" s="3">
        <v>0.5</v>
      </c>
      <c r="E139" s="3">
        <v>0.4791666666666667</v>
      </c>
      <c r="F139" s="3">
        <v>0.5291666666666667</v>
      </c>
      <c r="G139" s="1">
        <v>2.26691694635E11</v>
      </c>
      <c r="H139" s="1" t="s">
        <v>248</v>
      </c>
      <c r="J139" s="1" t="s">
        <v>32</v>
      </c>
      <c r="K139" s="4">
        <f>+523337221977</f>
        <v>523337221977</v>
      </c>
      <c r="L139" s="1" t="s">
        <v>249</v>
      </c>
      <c r="M139" s="1" t="s">
        <v>59</v>
      </c>
      <c r="N139" s="1" t="s">
        <v>276</v>
      </c>
      <c r="P139" s="1">
        <v>0.0</v>
      </c>
      <c r="Q139" s="1">
        <v>0.0</v>
      </c>
      <c r="R139" s="1" t="s">
        <v>45</v>
      </c>
      <c r="S139" s="1" t="s">
        <v>45</v>
      </c>
      <c r="U139" s="1" t="s">
        <v>55</v>
      </c>
      <c r="V139" s="1">
        <v>23.0</v>
      </c>
      <c r="W139" s="1">
        <v>49.0</v>
      </c>
      <c r="X139" s="1">
        <v>72.0</v>
      </c>
      <c r="Y139" s="1" t="s">
        <v>50</v>
      </c>
      <c r="AA139" s="1" t="s">
        <v>38</v>
      </c>
      <c r="AB139" s="1">
        <v>0.0</v>
      </c>
      <c r="AC139" s="1">
        <v>0.0</v>
      </c>
      <c r="AD139" s="1">
        <v>0.0</v>
      </c>
      <c r="AE139" s="6">
        <v>0.4951388888888889</v>
      </c>
      <c r="AF139" s="1" t="s">
        <v>39</v>
      </c>
    </row>
    <row r="140">
      <c r="B140" s="2">
        <v>46189.0</v>
      </c>
      <c r="C140" s="3">
        <v>0.375</v>
      </c>
      <c r="D140" s="3">
        <v>0.3958333333333333</v>
      </c>
      <c r="E140" s="3">
        <v>0.375</v>
      </c>
      <c r="F140" s="3">
        <v>0.3923611111111111</v>
      </c>
      <c r="G140" s="1">
        <v>9.4335666501E10</v>
      </c>
      <c r="H140" s="1" t="s">
        <v>100</v>
      </c>
      <c r="J140" s="1" t="s">
        <v>32</v>
      </c>
      <c r="K140" s="4">
        <f>+523313273436</f>
        <v>523313273436</v>
      </c>
      <c r="L140" s="1" t="s">
        <v>101</v>
      </c>
      <c r="M140" s="1" t="s">
        <v>59</v>
      </c>
      <c r="N140" s="1" t="s">
        <v>67</v>
      </c>
      <c r="P140" s="5">
        <v>15000.0</v>
      </c>
      <c r="Q140" s="1">
        <v>0.0</v>
      </c>
      <c r="R140" s="1" t="s">
        <v>45</v>
      </c>
      <c r="S140" s="1" t="s">
        <v>45</v>
      </c>
      <c r="U140" s="1" t="s">
        <v>36</v>
      </c>
      <c r="V140" s="1">
        <v>0.0</v>
      </c>
      <c r="W140" s="1">
        <v>25.0</v>
      </c>
      <c r="X140" s="1">
        <v>25.0</v>
      </c>
      <c r="Y140" s="1" t="s">
        <v>50</v>
      </c>
      <c r="AA140" s="1" t="s">
        <v>38</v>
      </c>
      <c r="AB140" s="1">
        <v>0.0</v>
      </c>
      <c r="AC140" s="1">
        <v>0.0</v>
      </c>
      <c r="AD140" s="1">
        <v>0.0</v>
      </c>
      <c r="AE140" s="6">
        <v>0.375</v>
      </c>
      <c r="AF140" s="1" t="s">
        <v>39</v>
      </c>
    </row>
    <row r="141">
      <c r="B141" s="2">
        <v>46189.0</v>
      </c>
      <c r="C141" s="3">
        <v>0.625</v>
      </c>
      <c r="D141" s="3">
        <v>0.6666666666666666</v>
      </c>
      <c r="E141" s="3">
        <v>0.625</v>
      </c>
      <c r="F141" s="3">
        <v>0.6368055555555555</v>
      </c>
      <c r="G141" s="1">
        <v>2.27588513296E11</v>
      </c>
      <c r="H141" s="1" t="s">
        <v>242</v>
      </c>
      <c r="J141" s="1" t="s">
        <v>32</v>
      </c>
      <c r="K141" s="4">
        <f>+523325370344</f>
        <v>523325370344</v>
      </c>
      <c r="L141" s="1" t="s">
        <v>83</v>
      </c>
      <c r="M141" s="1" t="s">
        <v>48</v>
      </c>
      <c r="N141" s="1" t="s">
        <v>277</v>
      </c>
      <c r="P141" s="1">
        <v>0.0</v>
      </c>
      <c r="R141" s="1" t="s">
        <v>70</v>
      </c>
      <c r="S141" s="1" t="s">
        <v>70</v>
      </c>
      <c r="U141" s="1" t="s">
        <v>36</v>
      </c>
      <c r="V141" s="1">
        <v>0.0</v>
      </c>
      <c r="W141" s="1">
        <v>17.0</v>
      </c>
      <c r="X141" s="1">
        <v>17.0</v>
      </c>
      <c r="Y141" s="1" t="s">
        <v>50</v>
      </c>
      <c r="AA141" s="1" t="s">
        <v>38</v>
      </c>
      <c r="AB141" s="1">
        <v>1.0</v>
      </c>
      <c r="AC141" s="1">
        <v>0.0</v>
      </c>
      <c r="AD141" s="1">
        <v>0.0</v>
      </c>
      <c r="AE141" s="6">
        <v>0.625</v>
      </c>
      <c r="AF141" s="1" t="s">
        <v>39</v>
      </c>
    </row>
    <row r="142">
      <c r="B142" s="2">
        <v>46189.0</v>
      </c>
      <c r="C142" s="3">
        <v>0.5</v>
      </c>
      <c r="D142" s="3">
        <v>0.5104166666666666</v>
      </c>
      <c r="E142" s="3">
        <v>0.5</v>
      </c>
      <c r="F142" s="3">
        <v>0.5277777777777778</v>
      </c>
      <c r="G142" s="1">
        <v>2.1735285739E11</v>
      </c>
      <c r="H142" s="1" t="s">
        <v>278</v>
      </c>
      <c r="J142" s="1" t="s">
        <v>32</v>
      </c>
      <c r="K142" s="4" t="str">
        <f>+52 33 3243 8177</f>
        <v>#ERROR!</v>
      </c>
      <c r="L142" s="1" t="s">
        <v>33</v>
      </c>
      <c r="M142" s="1" t="s">
        <v>34</v>
      </c>
      <c r="N142" s="1" t="s">
        <v>279</v>
      </c>
      <c r="P142" s="1">
        <v>0.0</v>
      </c>
      <c r="R142" s="1" t="s">
        <v>35</v>
      </c>
      <c r="S142" s="1" t="s">
        <v>35</v>
      </c>
      <c r="U142" s="1" t="s">
        <v>55</v>
      </c>
      <c r="V142" s="1">
        <v>0.0</v>
      </c>
      <c r="W142" s="1">
        <v>40.0</v>
      </c>
      <c r="X142" s="1">
        <v>40.0</v>
      </c>
      <c r="Y142" s="1" t="s">
        <v>37</v>
      </c>
      <c r="AA142" s="1" t="s">
        <v>38</v>
      </c>
      <c r="AB142" s="1">
        <v>0.0</v>
      </c>
      <c r="AC142" s="1">
        <v>0.0</v>
      </c>
      <c r="AD142" s="1">
        <v>0.0</v>
      </c>
      <c r="AE142" s="6">
        <v>0.5</v>
      </c>
      <c r="AF142" s="1" t="s">
        <v>39</v>
      </c>
    </row>
    <row r="143">
      <c r="B143" s="2">
        <v>46189.0</v>
      </c>
      <c r="C143" s="3">
        <v>0.4270833333333333</v>
      </c>
      <c r="D143" s="3">
        <v>0.4375</v>
      </c>
      <c r="E143" s="3">
        <v>0.4270833333333333</v>
      </c>
      <c r="F143" s="3">
        <v>0.45416666666666666</v>
      </c>
      <c r="G143" s="1">
        <v>1.28615761068E11</v>
      </c>
      <c r="H143" s="1" t="s">
        <v>232</v>
      </c>
      <c r="J143" s="1" t="s">
        <v>32</v>
      </c>
      <c r="K143" s="4">
        <f>+523335782664</f>
        <v>523335782664</v>
      </c>
      <c r="L143" s="1" t="s">
        <v>97</v>
      </c>
      <c r="M143" s="1" t="s">
        <v>42</v>
      </c>
      <c r="P143" s="5">
        <v>0.0</v>
      </c>
      <c r="Q143" s="1">
        <v>0.0</v>
      </c>
      <c r="R143" s="1" t="s">
        <v>44</v>
      </c>
      <c r="S143" s="1" t="s">
        <v>45</v>
      </c>
      <c r="U143" s="1" t="s">
        <v>55</v>
      </c>
      <c r="V143" s="1">
        <v>0.0</v>
      </c>
      <c r="W143" s="1">
        <v>39.0</v>
      </c>
      <c r="X143" s="1">
        <v>39.0</v>
      </c>
      <c r="Y143" s="1" t="s">
        <v>56</v>
      </c>
      <c r="AA143" s="1" t="s">
        <v>38</v>
      </c>
      <c r="AB143" s="1">
        <v>0.0</v>
      </c>
      <c r="AC143" s="1">
        <v>0.0</v>
      </c>
      <c r="AD143" s="1">
        <v>0.0</v>
      </c>
      <c r="AE143" s="6">
        <v>0.4270833333333333</v>
      </c>
      <c r="AF143" s="1" t="s">
        <v>39</v>
      </c>
    </row>
    <row r="144">
      <c r="B144" s="2">
        <v>46188.0</v>
      </c>
      <c r="C144" s="3">
        <v>0.6458333333333334</v>
      </c>
      <c r="D144" s="3">
        <v>0.6666666666666666</v>
      </c>
      <c r="E144" s="3">
        <v>0.6458333333333334</v>
      </c>
      <c r="F144" s="3">
        <v>0.6777777777777778</v>
      </c>
      <c r="G144" s="1">
        <v>2.2454325749E11</v>
      </c>
      <c r="H144" s="1" t="s">
        <v>280</v>
      </c>
      <c r="J144" s="1" t="s">
        <v>32</v>
      </c>
      <c r="K144" s="4">
        <f>+12145858940</f>
        <v>12145858940</v>
      </c>
      <c r="L144" s="1" t="s">
        <v>121</v>
      </c>
      <c r="M144" s="1" t="s">
        <v>59</v>
      </c>
      <c r="N144" s="1" t="s">
        <v>281</v>
      </c>
      <c r="P144" s="1">
        <v>0.0</v>
      </c>
      <c r="R144" s="1" t="s">
        <v>70</v>
      </c>
      <c r="S144" s="1" t="s">
        <v>35</v>
      </c>
      <c r="U144" s="1" t="s">
        <v>36</v>
      </c>
      <c r="V144" s="1">
        <v>15.0</v>
      </c>
      <c r="W144" s="1">
        <v>31.0</v>
      </c>
      <c r="X144" s="1">
        <v>46.0</v>
      </c>
      <c r="Y144" s="1" t="s">
        <v>81</v>
      </c>
      <c r="AA144" s="1" t="s">
        <v>64</v>
      </c>
      <c r="AB144" s="1">
        <v>0.0</v>
      </c>
      <c r="AC144" s="1">
        <v>0.0</v>
      </c>
      <c r="AD144" s="1">
        <v>0.0</v>
      </c>
      <c r="AE144" s="6">
        <v>0.65625</v>
      </c>
      <c r="AF144" s="1" t="s">
        <v>39</v>
      </c>
    </row>
    <row r="145">
      <c r="B145" s="2">
        <v>46188.0</v>
      </c>
      <c r="C145" s="3">
        <v>0.4375</v>
      </c>
      <c r="D145" s="3">
        <v>0.46875</v>
      </c>
      <c r="E145" s="3">
        <v>0.4375</v>
      </c>
      <c r="F145" s="3">
        <v>0.4638888888888889</v>
      </c>
      <c r="H145" s="1" t="s">
        <v>282</v>
      </c>
      <c r="J145" s="1" t="s">
        <v>32</v>
      </c>
      <c r="K145" s="4" t="str">
        <f>+52 351 121 2960</f>
        <v>#ERROR!</v>
      </c>
      <c r="L145" s="1" t="s">
        <v>52</v>
      </c>
      <c r="M145" s="1" t="s">
        <v>42</v>
      </c>
      <c r="P145" s="5">
        <v>0.0</v>
      </c>
      <c r="Q145" s="1">
        <v>0.0</v>
      </c>
      <c r="R145" s="1" t="s">
        <v>53</v>
      </c>
      <c r="S145" s="1" t="s">
        <v>283</v>
      </c>
      <c r="U145" s="1" t="s">
        <v>55</v>
      </c>
      <c r="V145" s="1">
        <v>0.0</v>
      </c>
      <c r="W145" s="1">
        <v>38.0</v>
      </c>
      <c r="X145" s="1">
        <v>38.0</v>
      </c>
      <c r="Y145" s="1" t="s">
        <v>78</v>
      </c>
      <c r="AA145" s="1" t="s">
        <v>38</v>
      </c>
      <c r="AB145" s="1">
        <v>0.0</v>
      </c>
      <c r="AC145" s="1">
        <v>0.0</v>
      </c>
      <c r="AD145" s="1">
        <v>0.0</v>
      </c>
      <c r="AE145" s="6">
        <v>0.4375</v>
      </c>
      <c r="AF145" s="1" t="s">
        <v>39</v>
      </c>
    </row>
    <row r="146">
      <c r="B146" s="2">
        <v>46188.0</v>
      </c>
      <c r="C146" s="3">
        <v>0.5</v>
      </c>
      <c r="D146" s="3">
        <v>0.5277777777777778</v>
      </c>
      <c r="E146" s="3">
        <v>0.5</v>
      </c>
      <c r="F146" s="3">
        <v>0.5305555555555556</v>
      </c>
      <c r="H146" s="1" t="s">
        <v>284</v>
      </c>
      <c r="J146" s="1" t="s">
        <v>32</v>
      </c>
      <c r="K146" s="4" t="str">
        <f>+52 351 121 2960</f>
        <v>#ERROR!</v>
      </c>
      <c r="L146" s="1" t="s">
        <v>58</v>
      </c>
      <c r="M146" s="1" t="s">
        <v>59</v>
      </c>
      <c r="N146" s="1" t="s">
        <v>285</v>
      </c>
      <c r="P146" s="1">
        <v>0.0</v>
      </c>
      <c r="Q146" s="1">
        <v>0.0</v>
      </c>
      <c r="R146" s="1" t="s">
        <v>44</v>
      </c>
      <c r="S146" s="1" t="s">
        <v>283</v>
      </c>
      <c r="U146" s="1" t="s">
        <v>55</v>
      </c>
      <c r="V146" s="1">
        <v>0.0</v>
      </c>
      <c r="W146" s="1">
        <v>44.0</v>
      </c>
      <c r="X146" s="1">
        <v>44.0</v>
      </c>
      <c r="Y146" s="1" t="s">
        <v>78</v>
      </c>
      <c r="AA146" s="1" t="s">
        <v>38</v>
      </c>
      <c r="AB146" s="1">
        <v>0.0</v>
      </c>
      <c r="AC146" s="1">
        <v>0.0</v>
      </c>
      <c r="AD146" s="1">
        <v>0.0</v>
      </c>
      <c r="AE146" s="6">
        <v>0.5</v>
      </c>
      <c r="AF146" s="1" t="s">
        <v>39</v>
      </c>
    </row>
    <row r="147">
      <c r="B147" s="2">
        <v>46188.0</v>
      </c>
      <c r="C147" s="3">
        <v>0.625</v>
      </c>
      <c r="D147" s="3">
        <v>0.6666666666666666</v>
      </c>
      <c r="E147" s="3">
        <v>0.625</v>
      </c>
      <c r="F147" s="3">
        <v>0.65625</v>
      </c>
      <c r="G147" s="1">
        <v>2.28108582038E11</v>
      </c>
      <c r="H147" s="1" t="s">
        <v>286</v>
      </c>
      <c r="J147" s="1" t="s">
        <v>32</v>
      </c>
      <c r="K147" s="4">
        <f>+523339567780</f>
        <v>523339567780</v>
      </c>
      <c r="L147" s="1" t="s">
        <v>105</v>
      </c>
      <c r="M147" s="1" t="s">
        <v>48</v>
      </c>
      <c r="N147" s="1" t="s">
        <v>287</v>
      </c>
      <c r="P147" s="5">
        <v>0.0</v>
      </c>
      <c r="R147" s="1" t="s">
        <v>35</v>
      </c>
      <c r="S147" s="1" t="s">
        <v>35</v>
      </c>
      <c r="U147" s="1" t="s">
        <v>36</v>
      </c>
      <c r="V147" s="1">
        <v>27.0</v>
      </c>
      <c r="W147" s="1">
        <v>18.0</v>
      </c>
      <c r="X147" s="1">
        <v>45.0</v>
      </c>
      <c r="Y147" s="1" t="s">
        <v>50</v>
      </c>
      <c r="AA147" s="1" t="s">
        <v>38</v>
      </c>
      <c r="AB147" s="1">
        <v>0.0</v>
      </c>
      <c r="AC147" s="1">
        <v>0.0</v>
      </c>
      <c r="AD147" s="1">
        <v>0.0</v>
      </c>
      <c r="AE147" s="6">
        <v>0.64375</v>
      </c>
      <c r="AF147" s="1" t="s">
        <v>39</v>
      </c>
    </row>
    <row r="148">
      <c r="B148" s="2">
        <v>46188.0</v>
      </c>
      <c r="C148" s="3">
        <v>0.75</v>
      </c>
      <c r="D148" s="3">
        <v>0.7916666666666666</v>
      </c>
      <c r="E148" s="3">
        <v>0.75</v>
      </c>
      <c r="F148" s="3">
        <v>0.7895833333333333</v>
      </c>
      <c r="G148" s="1">
        <v>2.28197067675E11</v>
      </c>
      <c r="H148" s="1" t="s">
        <v>288</v>
      </c>
      <c r="J148" s="1" t="s">
        <v>32</v>
      </c>
      <c r="K148" s="4">
        <f>+15878933948</f>
        <v>15878933948</v>
      </c>
      <c r="L148" s="1" t="s">
        <v>289</v>
      </c>
      <c r="M148" s="1" t="s">
        <v>48</v>
      </c>
      <c r="N148" s="1" t="s">
        <v>67</v>
      </c>
      <c r="P148" s="5">
        <v>0.0</v>
      </c>
      <c r="R148" s="1" t="s">
        <v>35</v>
      </c>
      <c r="S148" s="1" t="s">
        <v>35</v>
      </c>
      <c r="U148" s="1" t="s">
        <v>36</v>
      </c>
      <c r="V148" s="1">
        <v>0.0</v>
      </c>
      <c r="W148" s="1">
        <v>57.0</v>
      </c>
      <c r="X148" s="1">
        <v>57.0</v>
      </c>
      <c r="Y148" s="1" t="s">
        <v>50</v>
      </c>
      <c r="AA148" s="1" t="s">
        <v>290</v>
      </c>
      <c r="AB148" s="1">
        <v>0.0</v>
      </c>
      <c r="AC148" s="1">
        <v>0.0</v>
      </c>
      <c r="AD148" s="1">
        <v>0.0</v>
      </c>
      <c r="AE148" s="6">
        <v>0.75</v>
      </c>
      <c r="AF148" s="1" t="s">
        <v>39</v>
      </c>
    </row>
    <row r="149">
      <c r="B149" s="2">
        <v>46188.0</v>
      </c>
      <c r="C149" s="3">
        <v>0.5104166666666666</v>
      </c>
      <c r="D149" s="3">
        <v>0.5208333333333334</v>
      </c>
      <c r="E149" s="3">
        <v>0.5104166666666666</v>
      </c>
      <c r="F149" s="3">
        <v>0.5979166666666667</v>
      </c>
      <c r="G149" s="1">
        <v>2.27705586501E11</v>
      </c>
      <c r="H149" s="1" t="s">
        <v>291</v>
      </c>
      <c r="J149" s="1" t="s">
        <v>32</v>
      </c>
      <c r="K149" s="4">
        <f>+523339557909</f>
        <v>523339557909</v>
      </c>
      <c r="L149" s="1" t="s">
        <v>33</v>
      </c>
      <c r="M149" s="1" t="s">
        <v>34</v>
      </c>
      <c r="N149" s="1" t="s">
        <v>292</v>
      </c>
      <c r="P149" s="1">
        <v>0.0</v>
      </c>
      <c r="R149" s="1" t="s">
        <v>35</v>
      </c>
      <c r="S149" s="1" t="s">
        <v>35</v>
      </c>
      <c r="U149" s="1" t="s">
        <v>36</v>
      </c>
      <c r="V149" s="1">
        <v>0.0</v>
      </c>
      <c r="W149" s="1">
        <v>126.0</v>
      </c>
      <c r="X149" s="1">
        <v>126.0</v>
      </c>
      <c r="Y149" s="1" t="s">
        <v>37</v>
      </c>
      <c r="AA149" s="1" t="s">
        <v>38</v>
      </c>
      <c r="AB149" s="1">
        <v>0.0</v>
      </c>
      <c r="AC149" s="1">
        <v>0.0</v>
      </c>
      <c r="AD149" s="1">
        <v>0.0</v>
      </c>
      <c r="AE149" s="6">
        <v>0.5104166666666666</v>
      </c>
      <c r="AF149" s="1" t="s">
        <v>39</v>
      </c>
    </row>
    <row r="150">
      <c r="B150" s="2">
        <v>46188.0</v>
      </c>
      <c r="C150" s="3">
        <v>0.6458333333333334</v>
      </c>
      <c r="D150" s="3">
        <v>0.6666666666666666</v>
      </c>
      <c r="E150" s="3">
        <v>0.6458333333333334</v>
      </c>
      <c r="F150" s="3">
        <v>0.6777777777777778</v>
      </c>
      <c r="G150" s="1">
        <v>1.64157311103E11</v>
      </c>
      <c r="H150" s="1" t="s">
        <v>163</v>
      </c>
      <c r="J150" s="1" t="s">
        <v>32</v>
      </c>
      <c r="K150" s="4">
        <f>+523314665402</f>
        <v>523314665402</v>
      </c>
      <c r="L150" s="1" t="s">
        <v>66</v>
      </c>
      <c r="M150" s="1" t="s">
        <v>34</v>
      </c>
      <c r="N150" s="1" t="s">
        <v>67</v>
      </c>
      <c r="P150" s="1">
        <v>0.0</v>
      </c>
      <c r="Q150" s="1">
        <v>0.0</v>
      </c>
      <c r="R150" s="1" t="s">
        <v>45</v>
      </c>
      <c r="S150" s="1" t="s">
        <v>45</v>
      </c>
      <c r="U150" s="1" t="s">
        <v>164</v>
      </c>
      <c r="V150" s="1">
        <v>16.0</v>
      </c>
      <c r="W150" s="1">
        <v>30.0</v>
      </c>
      <c r="X150" s="1">
        <v>46.0</v>
      </c>
      <c r="Y150" s="1" t="s">
        <v>50</v>
      </c>
      <c r="AA150" s="1" t="s">
        <v>38</v>
      </c>
      <c r="AB150" s="1">
        <v>0.0</v>
      </c>
      <c r="AC150" s="1">
        <v>0.0</v>
      </c>
      <c r="AD150" s="1">
        <v>0.0</v>
      </c>
      <c r="AE150" s="6">
        <v>0.6569444444444444</v>
      </c>
      <c r="AF150" s="1" t="s">
        <v>39</v>
      </c>
    </row>
    <row r="151">
      <c r="B151" s="2">
        <v>46188.0</v>
      </c>
      <c r="C151" s="3">
        <v>0.3541666666666667</v>
      </c>
      <c r="D151" s="3">
        <v>0.375</v>
      </c>
      <c r="E151" s="3">
        <v>0.3541666666666667</v>
      </c>
      <c r="F151" s="3">
        <v>0.37916666666666665</v>
      </c>
      <c r="H151" s="1" t="s">
        <v>293</v>
      </c>
      <c r="J151" s="1" t="s">
        <v>32</v>
      </c>
      <c r="K151" s="4" t="str">
        <f>+52 33 1145 6455</f>
        <v>#ERROR!</v>
      </c>
      <c r="L151" s="1" t="s">
        <v>121</v>
      </c>
      <c r="M151" s="1" t="s">
        <v>59</v>
      </c>
      <c r="P151" s="1">
        <v>0.0</v>
      </c>
      <c r="Q151" s="1">
        <v>0.0</v>
      </c>
      <c r="R151" s="1" t="s">
        <v>54</v>
      </c>
      <c r="S151" s="1" t="s">
        <v>54</v>
      </c>
      <c r="U151" s="1" t="s">
        <v>55</v>
      </c>
      <c r="V151" s="1">
        <v>0.0</v>
      </c>
      <c r="W151" s="1">
        <v>36.0</v>
      </c>
      <c r="X151" s="1">
        <v>36.0</v>
      </c>
      <c r="Y151" s="1" t="s">
        <v>56</v>
      </c>
      <c r="AA151" s="1" t="s">
        <v>38</v>
      </c>
      <c r="AB151" s="1">
        <v>0.0</v>
      </c>
      <c r="AC151" s="1">
        <v>0.0</v>
      </c>
      <c r="AD151" s="1">
        <v>0.0</v>
      </c>
      <c r="AE151" s="6">
        <v>0.3541666666666667</v>
      </c>
      <c r="AF151" s="1" t="s">
        <v>39</v>
      </c>
    </row>
    <row r="152">
      <c r="B152" s="2">
        <v>46188.0</v>
      </c>
      <c r="C152" s="3">
        <v>0.34375</v>
      </c>
      <c r="D152" s="3">
        <v>0.3854166666666667</v>
      </c>
      <c r="E152" s="3">
        <v>0.34375</v>
      </c>
      <c r="F152" s="3">
        <v>0.38680555555555557</v>
      </c>
      <c r="G152" s="1">
        <v>1.22822030101E11</v>
      </c>
      <c r="H152" s="1" t="s">
        <v>96</v>
      </c>
      <c r="J152" s="1" t="s">
        <v>32</v>
      </c>
      <c r="K152" s="1">
        <v>9.167431507E9</v>
      </c>
      <c r="L152" s="1" t="s">
        <v>241</v>
      </c>
      <c r="M152" s="1" t="s">
        <v>34</v>
      </c>
      <c r="N152" s="1" t="s">
        <v>67</v>
      </c>
      <c r="P152" s="5">
        <v>15187.5</v>
      </c>
      <c r="R152" s="1" t="s">
        <v>45</v>
      </c>
      <c r="S152" s="1" t="s">
        <v>45</v>
      </c>
      <c r="U152" s="1" t="s">
        <v>55</v>
      </c>
      <c r="V152" s="1">
        <v>14.0</v>
      </c>
      <c r="W152" s="1">
        <v>48.0</v>
      </c>
      <c r="X152" s="1">
        <v>62.0</v>
      </c>
      <c r="Y152" s="1" t="s">
        <v>50</v>
      </c>
      <c r="AB152" s="1">
        <v>0.0</v>
      </c>
      <c r="AC152" s="1">
        <v>0.0</v>
      </c>
      <c r="AD152" s="1">
        <v>0.0</v>
      </c>
      <c r="AE152" s="6">
        <v>0.35347222222222224</v>
      </c>
      <c r="AF152" s="1" t="s">
        <v>39</v>
      </c>
    </row>
    <row r="153">
      <c r="B153" s="2">
        <v>46188.0</v>
      </c>
      <c r="C153" s="3">
        <v>0.5</v>
      </c>
      <c r="D153" s="3">
        <v>0.5104166666666666</v>
      </c>
      <c r="E153" s="3">
        <v>0.5</v>
      </c>
      <c r="F153" s="3">
        <v>0.5979166666666667</v>
      </c>
      <c r="G153" s="1">
        <v>2.27211845196E11</v>
      </c>
      <c r="H153" s="1" t="s">
        <v>294</v>
      </c>
      <c r="J153" s="1" t="s">
        <v>32</v>
      </c>
      <c r="K153" s="4">
        <f>+5213329501435</f>
        <v>5213329501435</v>
      </c>
      <c r="L153" s="1" t="s">
        <v>33</v>
      </c>
      <c r="M153" s="1" t="s">
        <v>34</v>
      </c>
      <c r="N153" s="1" t="s">
        <v>295</v>
      </c>
      <c r="P153" s="1">
        <v>0.0</v>
      </c>
      <c r="R153" s="1" t="s">
        <v>35</v>
      </c>
      <c r="S153" s="1" t="s">
        <v>35</v>
      </c>
      <c r="U153" s="1" t="s">
        <v>55</v>
      </c>
      <c r="V153" s="1">
        <v>0.0</v>
      </c>
      <c r="W153" s="1">
        <v>141.0</v>
      </c>
      <c r="X153" s="1">
        <v>141.0</v>
      </c>
      <c r="Y153" s="1" t="s">
        <v>37</v>
      </c>
      <c r="AA153" s="1" t="s">
        <v>38</v>
      </c>
      <c r="AB153" s="1">
        <v>0.0</v>
      </c>
      <c r="AC153" s="1">
        <v>0.0</v>
      </c>
      <c r="AD153" s="1">
        <v>0.0</v>
      </c>
      <c r="AE153" s="6">
        <v>0.5</v>
      </c>
      <c r="AF153" s="1" t="s">
        <v>39</v>
      </c>
    </row>
    <row r="154">
      <c r="B154" s="2">
        <v>46188.0</v>
      </c>
      <c r="C154" s="3">
        <v>0.375</v>
      </c>
      <c r="D154" s="3">
        <v>0.3958333333333333</v>
      </c>
      <c r="E154" s="3">
        <v>0.375</v>
      </c>
      <c r="F154" s="3">
        <v>0.39305555555555555</v>
      </c>
      <c r="G154" s="1">
        <v>2.0984986002E11</v>
      </c>
      <c r="H154" s="1" t="s">
        <v>180</v>
      </c>
      <c r="J154" s="1" t="s">
        <v>32</v>
      </c>
      <c r="K154" s="4" t="str">
        <f>+52 33 3167 0108</f>
        <v>#ERROR!</v>
      </c>
      <c r="L154" s="1" t="s">
        <v>90</v>
      </c>
      <c r="M154" s="1" t="s">
        <v>87</v>
      </c>
      <c r="P154" s="1">
        <v>0.0</v>
      </c>
      <c r="Q154" s="1">
        <v>0.0</v>
      </c>
      <c r="R154" s="1" t="s">
        <v>53</v>
      </c>
      <c r="S154" s="1" t="s">
        <v>45</v>
      </c>
      <c r="U154" s="1" t="s">
        <v>36</v>
      </c>
      <c r="V154" s="1">
        <v>-16.0</v>
      </c>
      <c r="W154" s="1">
        <v>42.0</v>
      </c>
      <c r="X154" s="1">
        <v>26.0</v>
      </c>
      <c r="Y154" s="1" t="s">
        <v>56</v>
      </c>
      <c r="AA154" s="1" t="s">
        <v>38</v>
      </c>
      <c r="AB154" s="1">
        <v>0.0</v>
      </c>
      <c r="AC154" s="1">
        <v>0.0</v>
      </c>
      <c r="AD154" s="1">
        <v>0.0</v>
      </c>
      <c r="AE154" s="6">
        <v>0.3638888888888889</v>
      </c>
      <c r="AF154" s="1" t="s">
        <v>39</v>
      </c>
    </row>
    <row r="155">
      <c r="B155" s="2">
        <v>46188.0</v>
      </c>
      <c r="C155" s="3">
        <v>0.375</v>
      </c>
      <c r="D155" s="3">
        <v>0.3958333333333333</v>
      </c>
      <c r="E155" s="3">
        <v>0.375</v>
      </c>
      <c r="F155" s="3">
        <v>0.39375</v>
      </c>
      <c r="G155" s="1">
        <v>2.0984986002E11</v>
      </c>
      <c r="H155" s="1" t="s">
        <v>180</v>
      </c>
      <c r="J155" s="1" t="s">
        <v>32</v>
      </c>
      <c r="K155" s="4" t="str">
        <f>+52 33 3167 0108</f>
        <v>#ERROR!</v>
      </c>
      <c r="L155" s="1" t="s">
        <v>90</v>
      </c>
      <c r="M155" s="1" t="s">
        <v>87</v>
      </c>
      <c r="P155" s="5">
        <v>0.0</v>
      </c>
      <c r="Q155" s="1">
        <v>0.0</v>
      </c>
      <c r="R155" s="1" t="s">
        <v>45</v>
      </c>
      <c r="S155" s="1" t="s">
        <v>45</v>
      </c>
      <c r="U155" s="1" t="s">
        <v>36</v>
      </c>
      <c r="V155" s="1">
        <v>17.0</v>
      </c>
      <c r="W155" s="1">
        <v>10.0</v>
      </c>
      <c r="X155" s="1">
        <v>27.0</v>
      </c>
      <c r="Y155" s="1" t="s">
        <v>56</v>
      </c>
      <c r="AA155" s="1" t="s">
        <v>38</v>
      </c>
      <c r="AB155" s="1">
        <v>0.0</v>
      </c>
      <c r="AC155" s="1">
        <v>0.0</v>
      </c>
      <c r="AD155" s="1">
        <v>0.0</v>
      </c>
      <c r="AE155" s="6">
        <v>0.38680555555555557</v>
      </c>
      <c r="AF155" s="1" t="s">
        <v>39</v>
      </c>
    </row>
    <row r="156">
      <c r="B156" s="2">
        <v>46188.0</v>
      </c>
      <c r="C156" s="3">
        <v>0.4166666666666667</v>
      </c>
      <c r="D156" s="3">
        <v>0.4583333333333333</v>
      </c>
      <c r="E156" s="3">
        <v>0.4166666666666667</v>
      </c>
      <c r="F156" s="3">
        <v>0.5277777777777778</v>
      </c>
      <c r="G156" s="1">
        <v>2.27363091758E11</v>
      </c>
      <c r="H156" s="1" t="s">
        <v>296</v>
      </c>
      <c r="J156" s="1" t="s">
        <v>32</v>
      </c>
      <c r="K156" s="4">
        <f>+523335789293</f>
        <v>523335789293</v>
      </c>
      <c r="L156" s="1" t="s">
        <v>105</v>
      </c>
      <c r="M156" s="1" t="s">
        <v>48</v>
      </c>
      <c r="N156" s="1" t="s">
        <v>67</v>
      </c>
      <c r="P156" s="1">
        <v>0.0</v>
      </c>
      <c r="Q156" s="1">
        <v>0.0</v>
      </c>
      <c r="R156" s="1" t="s">
        <v>45</v>
      </c>
      <c r="S156" s="1" t="s">
        <v>45</v>
      </c>
      <c r="U156" s="1" t="s">
        <v>36</v>
      </c>
      <c r="V156" s="1">
        <v>69.0</v>
      </c>
      <c r="W156" s="1">
        <v>91.0</v>
      </c>
      <c r="X156" s="1">
        <v>160.0</v>
      </c>
      <c r="Y156" s="1" t="s">
        <v>50</v>
      </c>
      <c r="AA156" s="1" t="s">
        <v>38</v>
      </c>
      <c r="AB156" s="1">
        <v>0.0</v>
      </c>
      <c r="AC156" s="1">
        <v>0.0</v>
      </c>
      <c r="AD156" s="1">
        <v>0.0</v>
      </c>
      <c r="AE156" s="6">
        <v>0.46458333333333335</v>
      </c>
      <c r="AF156" s="1" t="s">
        <v>39</v>
      </c>
    </row>
    <row r="157">
      <c r="B157" s="2">
        <v>46188.0</v>
      </c>
      <c r="C157" s="3">
        <v>0.3333333333333333</v>
      </c>
      <c r="D157" s="3">
        <v>0.3645833333333333</v>
      </c>
      <c r="E157" s="3">
        <v>0.3333333333333333</v>
      </c>
      <c r="F157" s="3">
        <v>0.35347222222222224</v>
      </c>
      <c r="H157" s="1" t="s">
        <v>297</v>
      </c>
      <c r="J157" s="1" t="s">
        <v>32</v>
      </c>
      <c r="K157" s="1">
        <v>5.26863557338E11</v>
      </c>
      <c r="L157" s="1" t="s">
        <v>75</v>
      </c>
      <c r="M157" s="1" t="s">
        <v>42</v>
      </c>
      <c r="N157" s="1" t="s">
        <v>298</v>
      </c>
      <c r="P157" s="5">
        <v>0.0</v>
      </c>
      <c r="Q157" s="1">
        <v>0.0</v>
      </c>
      <c r="R157" s="1" t="s">
        <v>53</v>
      </c>
      <c r="S157" s="1" t="s">
        <v>35</v>
      </c>
      <c r="U157" s="1" t="s">
        <v>55</v>
      </c>
      <c r="V157" s="1">
        <v>0.0</v>
      </c>
      <c r="W157" s="1">
        <v>29.0</v>
      </c>
      <c r="X157" s="1">
        <v>29.0</v>
      </c>
      <c r="Y157" s="1" t="s">
        <v>46</v>
      </c>
      <c r="AA157" s="1" t="s">
        <v>38</v>
      </c>
      <c r="AB157" s="1">
        <v>0.0</v>
      </c>
      <c r="AC157" s="1">
        <v>0.0</v>
      </c>
      <c r="AD157" s="1">
        <v>0.0</v>
      </c>
      <c r="AE157" s="6">
        <v>0.3333333333333333</v>
      </c>
      <c r="AF157" s="1" t="s">
        <v>39</v>
      </c>
    </row>
    <row r="158">
      <c r="B158" s="2">
        <v>46188.0</v>
      </c>
      <c r="C158" s="3">
        <v>0.3333333333333333</v>
      </c>
      <c r="D158" s="3">
        <v>0.3402777777777778</v>
      </c>
      <c r="E158" s="3">
        <v>0.3333333333333333</v>
      </c>
      <c r="F158" s="3">
        <v>0.35347222222222224</v>
      </c>
      <c r="G158" s="1">
        <v>2.27630432915E11</v>
      </c>
      <c r="H158" s="1" t="s">
        <v>255</v>
      </c>
      <c r="J158" s="1" t="s">
        <v>32</v>
      </c>
      <c r="K158" s="4">
        <f>+526863557338</f>
        <v>526863557338</v>
      </c>
      <c r="L158" s="1" t="s">
        <v>41</v>
      </c>
      <c r="M158" s="1" t="s">
        <v>42</v>
      </c>
      <c r="N158" s="1" t="s">
        <v>299</v>
      </c>
      <c r="P158" s="1">
        <v>0.0</v>
      </c>
      <c r="Q158" s="1">
        <v>0.0</v>
      </c>
      <c r="R158" s="1" t="s">
        <v>44</v>
      </c>
      <c r="S158" s="1" t="s">
        <v>35</v>
      </c>
      <c r="U158" s="1" t="s">
        <v>36</v>
      </c>
      <c r="V158" s="1">
        <v>0.0</v>
      </c>
      <c r="W158" s="1">
        <v>29.0</v>
      </c>
      <c r="X158" s="1">
        <v>29.0</v>
      </c>
      <c r="Y158" s="1" t="s">
        <v>46</v>
      </c>
      <c r="AA158" s="1" t="s">
        <v>38</v>
      </c>
      <c r="AB158" s="1">
        <v>0.0</v>
      </c>
      <c r="AC158" s="1">
        <v>0.0</v>
      </c>
      <c r="AD158" s="1">
        <v>0.0</v>
      </c>
      <c r="AE158" s="6">
        <v>0.3333333333333333</v>
      </c>
      <c r="AF158" s="1" t="s">
        <v>39</v>
      </c>
    </row>
    <row r="159">
      <c r="B159" s="2">
        <v>46188.0</v>
      </c>
      <c r="C159" s="3">
        <v>0.6666666666666666</v>
      </c>
      <c r="D159" s="3">
        <v>0.6736111111111112</v>
      </c>
      <c r="E159" s="3">
        <v>0.6666666666666666</v>
      </c>
      <c r="F159" s="3">
        <v>0.7111111111111111</v>
      </c>
      <c r="H159" s="1" t="s">
        <v>259</v>
      </c>
      <c r="J159" s="1" t="s">
        <v>32</v>
      </c>
      <c r="K159" s="1">
        <v>3.320262463E9</v>
      </c>
      <c r="L159" s="1" t="s">
        <v>41</v>
      </c>
      <c r="M159" s="1" t="s">
        <v>42</v>
      </c>
      <c r="N159" s="1" t="s">
        <v>300</v>
      </c>
      <c r="P159" s="1">
        <v>0.0</v>
      </c>
      <c r="Q159" s="1">
        <v>0.0</v>
      </c>
      <c r="R159" s="1" t="s">
        <v>44</v>
      </c>
      <c r="S159" s="1" t="s">
        <v>45</v>
      </c>
      <c r="U159" s="1" t="s">
        <v>36</v>
      </c>
      <c r="V159" s="1">
        <v>0.0</v>
      </c>
      <c r="W159" s="1">
        <v>64.0</v>
      </c>
      <c r="X159" s="1">
        <v>64.0</v>
      </c>
      <c r="Y159" s="1" t="s">
        <v>46</v>
      </c>
      <c r="AA159" s="1" t="s">
        <v>38</v>
      </c>
      <c r="AB159" s="1">
        <v>0.0</v>
      </c>
      <c r="AC159" s="1">
        <v>0.0</v>
      </c>
      <c r="AD159" s="1">
        <v>0.0</v>
      </c>
      <c r="AE159" s="6">
        <v>0.6666666666666666</v>
      </c>
      <c r="AF159" s="1" t="s">
        <v>39</v>
      </c>
    </row>
    <row r="160">
      <c r="B160" s="2">
        <v>46188.0</v>
      </c>
      <c r="C160" s="3">
        <v>0.5416666666666666</v>
      </c>
      <c r="D160" s="3">
        <v>0.5833333333333334</v>
      </c>
      <c r="E160" s="3">
        <v>0.5416666666666666</v>
      </c>
      <c r="F160" s="3">
        <v>0.5930555555555556</v>
      </c>
      <c r="G160" s="1">
        <v>2.27359912592E11</v>
      </c>
      <c r="H160" s="1" t="s">
        <v>217</v>
      </c>
      <c r="J160" s="1" t="s">
        <v>32</v>
      </c>
      <c r="K160" s="4">
        <f>+5213310902120</f>
        <v>5213310902120</v>
      </c>
      <c r="L160" s="1" t="s">
        <v>83</v>
      </c>
      <c r="M160" s="1" t="s">
        <v>48</v>
      </c>
      <c r="N160" s="1" t="s">
        <v>301</v>
      </c>
      <c r="P160" s="5">
        <v>0.0</v>
      </c>
      <c r="R160" s="1" t="s">
        <v>35</v>
      </c>
      <c r="S160" s="1" t="s">
        <v>35</v>
      </c>
      <c r="U160" s="1" t="s">
        <v>36</v>
      </c>
      <c r="V160" s="1">
        <v>20.0</v>
      </c>
      <c r="W160" s="1">
        <v>54.0</v>
      </c>
      <c r="X160" s="1">
        <v>74.0</v>
      </c>
      <c r="Y160" s="1" t="s">
        <v>50</v>
      </c>
      <c r="AA160" s="1" t="s">
        <v>38</v>
      </c>
      <c r="AB160" s="1">
        <v>1.0</v>
      </c>
      <c r="AC160" s="1">
        <v>0.0</v>
      </c>
      <c r="AD160" s="1">
        <v>0.0</v>
      </c>
      <c r="AE160" s="6">
        <v>0.5555555555555556</v>
      </c>
      <c r="AF160" s="1" t="s">
        <v>39</v>
      </c>
    </row>
    <row r="161">
      <c r="B161" s="2">
        <v>46188.0</v>
      </c>
      <c r="C161" s="3">
        <v>0.5208333333333334</v>
      </c>
      <c r="D161" s="3">
        <v>0.53125</v>
      </c>
      <c r="E161" s="3">
        <v>0.5208333333333334</v>
      </c>
      <c r="F161" s="3">
        <v>0.5979166666666667</v>
      </c>
      <c r="G161" s="1">
        <v>2.2803195996E11</v>
      </c>
      <c r="H161" s="1" t="s">
        <v>302</v>
      </c>
      <c r="J161" s="1" t="s">
        <v>32</v>
      </c>
      <c r="K161" s="4">
        <f>+524931147628</f>
        <v>524931147628</v>
      </c>
      <c r="L161" s="1" t="s">
        <v>33</v>
      </c>
      <c r="M161" s="1" t="s">
        <v>34</v>
      </c>
      <c r="P161" s="5">
        <v>0.0</v>
      </c>
      <c r="R161" s="1" t="s">
        <v>35</v>
      </c>
      <c r="S161" s="1" t="s">
        <v>62</v>
      </c>
      <c r="U161" s="1" t="s">
        <v>36</v>
      </c>
      <c r="V161" s="1">
        <v>0.0</v>
      </c>
      <c r="W161" s="1">
        <v>111.0</v>
      </c>
      <c r="X161" s="1">
        <v>111.0</v>
      </c>
      <c r="Y161" s="1" t="s">
        <v>37</v>
      </c>
      <c r="AA161" s="1" t="s">
        <v>38</v>
      </c>
      <c r="AB161" s="1">
        <v>0.0</v>
      </c>
      <c r="AC161" s="1">
        <v>0.0</v>
      </c>
      <c r="AD161" s="1">
        <v>0.0</v>
      </c>
      <c r="AE161" s="6">
        <v>0.5208333333333334</v>
      </c>
      <c r="AF161" s="1" t="s">
        <v>39</v>
      </c>
    </row>
    <row r="162">
      <c r="B162" s="2">
        <v>46188.0</v>
      </c>
      <c r="C162" s="3">
        <v>0.3333333333333333</v>
      </c>
      <c r="D162" s="3">
        <v>0.3541666666666667</v>
      </c>
      <c r="E162" s="3">
        <v>0.3333333333333333</v>
      </c>
      <c r="F162" s="3">
        <v>0.35347222222222224</v>
      </c>
      <c r="G162" s="1">
        <v>2.08377036386E11</v>
      </c>
      <c r="H162" s="1" t="s">
        <v>161</v>
      </c>
      <c r="J162" s="1" t="s">
        <v>32</v>
      </c>
      <c r="K162" s="4">
        <f>+523326153847</f>
        <v>523326153847</v>
      </c>
      <c r="L162" s="1" t="s">
        <v>66</v>
      </c>
      <c r="M162" s="1" t="s">
        <v>34</v>
      </c>
      <c r="N162" s="1" t="s">
        <v>67</v>
      </c>
      <c r="P162" s="1">
        <v>0.0</v>
      </c>
      <c r="Q162" s="1">
        <v>0.0</v>
      </c>
      <c r="R162" s="1" t="s">
        <v>70</v>
      </c>
      <c r="S162" s="1" t="s">
        <v>70</v>
      </c>
      <c r="U162" s="1" t="s">
        <v>55</v>
      </c>
      <c r="V162" s="1">
        <v>0.0</v>
      </c>
      <c r="W162" s="1">
        <v>29.0</v>
      </c>
      <c r="X162" s="1">
        <v>29.0</v>
      </c>
      <c r="Y162" s="1" t="s">
        <v>50</v>
      </c>
      <c r="AA162" s="1" t="s">
        <v>38</v>
      </c>
      <c r="AB162" s="1">
        <v>0.0</v>
      </c>
      <c r="AC162" s="1">
        <v>0.0</v>
      </c>
      <c r="AD162" s="1">
        <v>0.0</v>
      </c>
      <c r="AE162" s="6">
        <v>0.3333333333333333</v>
      </c>
      <c r="AF162" s="1" t="s">
        <v>39</v>
      </c>
    </row>
    <row r="163">
      <c r="B163" s="2">
        <v>46188.0</v>
      </c>
      <c r="C163" s="3">
        <v>0.3958333333333333</v>
      </c>
      <c r="D163" s="3">
        <v>0.4166666666666667</v>
      </c>
      <c r="E163" s="3">
        <v>0.3958333333333333</v>
      </c>
      <c r="F163" s="3">
        <v>0.4097222222222222</v>
      </c>
      <c r="G163" s="1">
        <v>2.25902303235E11</v>
      </c>
      <c r="H163" s="1" t="s">
        <v>303</v>
      </c>
      <c r="J163" s="1" t="s">
        <v>32</v>
      </c>
      <c r="K163" s="4" t="str">
        <f>+52 33 1482 8986</f>
        <v>#ERROR!</v>
      </c>
      <c r="L163" s="1" t="s">
        <v>121</v>
      </c>
      <c r="M163" s="1" t="s">
        <v>59</v>
      </c>
      <c r="P163" s="5">
        <v>0.0</v>
      </c>
      <c r="R163" s="1" t="s">
        <v>54</v>
      </c>
      <c r="S163" s="1" t="s">
        <v>54</v>
      </c>
      <c r="U163" s="1" t="s">
        <v>55</v>
      </c>
      <c r="V163" s="1">
        <v>0.0</v>
      </c>
      <c r="W163" s="1">
        <v>20.0</v>
      </c>
      <c r="X163" s="1">
        <v>20.0</v>
      </c>
      <c r="Y163" s="1" t="s">
        <v>56</v>
      </c>
      <c r="AA163" s="1" t="s">
        <v>38</v>
      </c>
      <c r="AB163" s="1">
        <v>0.0</v>
      </c>
      <c r="AC163" s="1">
        <v>0.0</v>
      </c>
      <c r="AD163" s="1">
        <v>0.0</v>
      </c>
      <c r="AE163" s="6">
        <v>0.3958333333333333</v>
      </c>
      <c r="AF163" s="1" t="s">
        <v>39</v>
      </c>
    </row>
    <row r="164">
      <c r="B164" s="2">
        <v>46188.0</v>
      </c>
      <c r="C164" s="3">
        <v>0.75</v>
      </c>
      <c r="D164" s="3">
        <v>0.7916666666666666</v>
      </c>
      <c r="E164" s="3">
        <v>0.75</v>
      </c>
      <c r="F164" s="3">
        <v>0.7819444444444444</v>
      </c>
      <c r="G164" s="1">
        <v>2.2643961378E11</v>
      </c>
      <c r="H164" s="1" t="s">
        <v>92</v>
      </c>
      <c r="J164" s="1" t="s">
        <v>32</v>
      </c>
      <c r="K164" s="4">
        <f>+523316048468</f>
        <v>523316048468</v>
      </c>
      <c r="L164" s="1" t="s">
        <v>105</v>
      </c>
      <c r="M164" s="1" t="s">
        <v>48</v>
      </c>
      <c r="N164" s="1" t="s">
        <v>304</v>
      </c>
      <c r="P164" s="5">
        <v>0.0</v>
      </c>
      <c r="R164" s="1" t="s">
        <v>70</v>
      </c>
      <c r="S164" s="1" t="s">
        <v>70</v>
      </c>
      <c r="U164" s="1" t="s">
        <v>36</v>
      </c>
      <c r="V164" s="1">
        <v>-10.0</v>
      </c>
      <c r="W164" s="1">
        <v>56.0</v>
      </c>
      <c r="X164" s="1">
        <v>46.0</v>
      </c>
      <c r="Y164" s="1" t="s">
        <v>50</v>
      </c>
      <c r="AA164" s="1" t="s">
        <v>38</v>
      </c>
      <c r="AB164" s="1">
        <v>0.0</v>
      </c>
      <c r="AC164" s="1">
        <v>0.0</v>
      </c>
      <c r="AD164" s="1">
        <v>0.0</v>
      </c>
      <c r="AE164" s="6">
        <v>0.7430555555555556</v>
      </c>
      <c r="AF164" s="1" t="s">
        <v>39</v>
      </c>
    </row>
    <row r="165">
      <c r="B165" s="2">
        <v>46188.0</v>
      </c>
      <c r="C165" s="3">
        <v>0.6666666666666666</v>
      </c>
      <c r="D165" s="3">
        <v>0.7083333333333334</v>
      </c>
      <c r="E165" s="3">
        <v>0.6666666666666666</v>
      </c>
      <c r="F165" s="3">
        <v>0.7111111111111111</v>
      </c>
      <c r="G165" s="7">
        <v>2.22567552006E11</v>
      </c>
      <c r="H165" s="1" t="s">
        <v>305</v>
      </c>
      <c r="J165" s="1" t="s">
        <v>32</v>
      </c>
      <c r="K165" s="4">
        <f>+522291690156</f>
        <v>522291690156</v>
      </c>
      <c r="L165" s="1" t="s">
        <v>205</v>
      </c>
      <c r="M165" s="1" t="s">
        <v>48</v>
      </c>
      <c r="N165" s="1" t="s">
        <v>306</v>
      </c>
      <c r="P165" s="1">
        <v>0.0</v>
      </c>
      <c r="Q165" s="1">
        <v>0.0</v>
      </c>
      <c r="R165" s="1" t="s">
        <v>45</v>
      </c>
      <c r="S165" s="1" t="s">
        <v>45</v>
      </c>
      <c r="U165" s="1" t="s">
        <v>36</v>
      </c>
      <c r="V165" s="1">
        <v>0.0</v>
      </c>
      <c r="W165" s="1">
        <v>64.0</v>
      </c>
      <c r="X165" s="1">
        <v>64.0</v>
      </c>
      <c r="Y165" s="1" t="s">
        <v>50</v>
      </c>
      <c r="AA165" s="1" t="s">
        <v>38</v>
      </c>
      <c r="AB165" s="1">
        <v>0.0</v>
      </c>
      <c r="AC165" s="1">
        <v>0.0</v>
      </c>
      <c r="AD165" s="1">
        <v>0.0</v>
      </c>
      <c r="AE165" s="6">
        <v>0.6666666666666666</v>
      </c>
      <c r="AF165" s="1" t="s">
        <v>39</v>
      </c>
    </row>
    <row r="166">
      <c r="B166" s="2">
        <v>46188.0</v>
      </c>
      <c r="C166" s="3">
        <v>0.6458333333333334</v>
      </c>
      <c r="D166" s="3">
        <v>0.6527777777777778</v>
      </c>
      <c r="E166" s="3">
        <v>0.6458333333333334</v>
      </c>
      <c r="F166" s="3">
        <v>0.5347222222222222</v>
      </c>
      <c r="G166" s="1">
        <v>1.64157311103E11</v>
      </c>
      <c r="H166" s="1" t="s">
        <v>163</v>
      </c>
      <c r="J166" s="1" t="s">
        <v>32</v>
      </c>
      <c r="K166" s="4">
        <f>+523314665402</f>
        <v>523314665402</v>
      </c>
      <c r="L166" s="1" t="s">
        <v>41</v>
      </c>
      <c r="M166" s="1" t="s">
        <v>42</v>
      </c>
      <c r="N166" s="1" t="s">
        <v>154</v>
      </c>
      <c r="P166" s="1">
        <v>0.0</v>
      </c>
      <c r="Q166" s="1">
        <v>0.0</v>
      </c>
      <c r="R166" s="1" t="s">
        <v>44</v>
      </c>
      <c r="S166" s="1" t="s">
        <v>45</v>
      </c>
      <c r="U166" s="1" t="s">
        <v>164</v>
      </c>
      <c r="V166" s="1">
        <v>0.0</v>
      </c>
      <c r="W166" s="1">
        <v>-160.0</v>
      </c>
      <c r="X166" s="1">
        <v>-160.0</v>
      </c>
      <c r="Y166" s="1" t="s">
        <v>155</v>
      </c>
      <c r="AA166" s="1" t="s">
        <v>38</v>
      </c>
      <c r="AB166" s="1">
        <v>0.0</v>
      </c>
      <c r="AC166" s="1">
        <v>0.0</v>
      </c>
      <c r="AD166" s="1">
        <v>0.0</v>
      </c>
      <c r="AE166" s="6">
        <v>0.6458333333333334</v>
      </c>
      <c r="AF166" s="1" t="s">
        <v>39</v>
      </c>
    </row>
    <row r="167">
      <c r="B167" s="2">
        <v>46187.0</v>
      </c>
      <c r="C167" s="3">
        <v>0.375</v>
      </c>
      <c r="D167" s="3">
        <v>0.3958333333333333</v>
      </c>
      <c r="E167" s="3">
        <v>0.375</v>
      </c>
      <c r="F167" s="3">
        <v>0.40625</v>
      </c>
      <c r="H167" s="1" t="s">
        <v>307</v>
      </c>
      <c r="J167" s="1" t="s">
        <v>32</v>
      </c>
      <c r="K167" s="1" t="s">
        <v>271</v>
      </c>
      <c r="L167" s="1" t="s">
        <v>90</v>
      </c>
      <c r="M167" s="1" t="s">
        <v>87</v>
      </c>
      <c r="N167" s="1" t="s">
        <v>308</v>
      </c>
      <c r="P167" s="5">
        <v>-21000.0</v>
      </c>
      <c r="Q167" s="1">
        <v>0.0</v>
      </c>
      <c r="R167" s="1" t="s">
        <v>53</v>
      </c>
      <c r="S167" s="1" t="s">
        <v>194</v>
      </c>
      <c r="U167" s="1" t="s">
        <v>55</v>
      </c>
      <c r="V167" s="1">
        <v>0.0</v>
      </c>
      <c r="W167" s="1">
        <v>45.0</v>
      </c>
      <c r="X167" s="1">
        <v>45.0</v>
      </c>
      <c r="Y167" s="1" t="s">
        <v>56</v>
      </c>
      <c r="AA167" s="1" t="s">
        <v>38</v>
      </c>
      <c r="AB167" s="1">
        <v>0.0</v>
      </c>
      <c r="AC167" s="1">
        <v>0.0</v>
      </c>
      <c r="AD167" s="1">
        <v>0.0</v>
      </c>
      <c r="AE167" s="6">
        <v>0.375</v>
      </c>
      <c r="AF167" s="1" t="s">
        <v>39</v>
      </c>
    </row>
    <row r="168">
      <c r="B168" s="2">
        <v>46187.0</v>
      </c>
      <c r="C168" s="3">
        <v>0.3333333333333333</v>
      </c>
      <c r="D168" s="3">
        <v>0.3541666666666667</v>
      </c>
      <c r="E168" s="3">
        <v>0.3333333333333333</v>
      </c>
      <c r="F168" s="3">
        <v>0.40625</v>
      </c>
      <c r="H168" s="1" t="s">
        <v>309</v>
      </c>
      <c r="J168" s="1" t="s">
        <v>32</v>
      </c>
      <c r="K168" s="4" t="str">
        <f>+52 322 139 2642</f>
        <v>#ERROR!</v>
      </c>
      <c r="L168" s="1" t="s">
        <v>90</v>
      </c>
      <c r="M168" s="1" t="s">
        <v>87</v>
      </c>
      <c r="N168" s="1" t="s">
        <v>310</v>
      </c>
      <c r="P168" s="5">
        <v>14000.0</v>
      </c>
      <c r="Q168" s="1">
        <v>0.0</v>
      </c>
      <c r="R168" s="1" t="s">
        <v>53</v>
      </c>
      <c r="S168" s="1" t="s">
        <v>191</v>
      </c>
      <c r="U168" s="1" t="s">
        <v>55</v>
      </c>
      <c r="V168" s="1">
        <v>0.0</v>
      </c>
      <c r="W168" s="1">
        <v>105.0</v>
      </c>
      <c r="X168" s="1">
        <v>105.0</v>
      </c>
      <c r="Y168" s="1" t="s">
        <v>78</v>
      </c>
      <c r="AA168" s="1" t="s">
        <v>38</v>
      </c>
      <c r="AB168" s="1">
        <v>0.0</v>
      </c>
      <c r="AC168" s="1">
        <v>0.0</v>
      </c>
      <c r="AD168" s="1">
        <v>0.0</v>
      </c>
      <c r="AE168" s="6">
        <v>0.3333333333333333</v>
      </c>
      <c r="AF168" s="1" t="s">
        <v>39</v>
      </c>
    </row>
    <row r="169">
      <c r="B169" s="2">
        <v>46186.0</v>
      </c>
      <c r="C169" s="3">
        <v>0.4583333333333333</v>
      </c>
      <c r="D169" s="3">
        <v>0.5</v>
      </c>
      <c r="E169" s="3">
        <v>0.4583333333333333</v>
      </c>
      <c r="F169" s="3">
        <v>0.49375</v>
      </c>
      <c r="G169" s="1">
        <v>1.18825188235E11</v>
      </c>
      <c r="H169" s="1" t="s">
        <v>311</v>
      </c>
      <c r="J169" s="1" t="s">
        <v>32</v>
      </c>
      <c r="K169" s="4">
        <f>+523315458897</f>
        <v>523315458897</v>
      </c>
      <c r="L169" s="1" t="s">
        <v>105</v>
      </c>
      <c r="M169" s="1" t="s">
        <v>48</v>
      </c>
      <c r="N169" s="1" t="s">
        <v>67</v>
      </c>
      <c r="P169" s="1">
        <v>0.0</v>
      </c>
      <c r="R169" s="1" t="s">
        <v>62</v>
      </c>
      <c r="S169" s="1" t="s">
        <v>62</v>
      </c>
      <c r="U169" s="1" t="s">
        <v>36</v>
      </c>
      <c r="V169" s="1">
        <v>48.0</v>
      </c>
      <c r="W169" s="1">
        <v>3.0</v>
      </c>
      <c r="X169" s="1">
        <v>51.0</v>
      </c>
      <c r="Y169" s="1" t="s">
        <v>50</v>
      </c>
      <c r="AA169" s="1" t="s">
        <v>38</v>
      </c>
      <c r="AB169" s="1">
        <v>0.0</v>
      </c>
      <c r="AC169" s="1">
        <v>0.0</v>
      </c>
      <c r="AD169" s="1">
        <v>0.0</v>
      </c>
      <c r="AE169" s="6">
        <v>0.49166666666666664</v>
      </c>
      <c r="AF169" s="1" t="s">
        <v>39</v>
      </c>
    </row>
    <row r="170">
      <c r="B170" s="2">
        <v>46186.0</v>
      </c>
      <c r="C170" s="3">
        <v>0.3333333333333333</v>
      </c>
      <c r="D170" s="3">
        <v>0.3645833333333333</v>
      </c>
      <c r="E170" s="3">
        <v>0.3333333333333333</v>
      </c>
      <c r="F170" s="3">
        <v>0.34791666666666665</v>
      </c>
      <c r="H170" s="1" t="s">
        <v>312</v>
      </c>
      <c r="J170" s="1" t="s">
        <v>32</v>
      </c>
      <c r="K170" s="1">
        <v>12321.0</v>
      </c>
      <c r="L170" s="1" t="s">
        <v>158</v>
      </c>
      <c r="M170" s="1" t="s">
        <v>42</v>
      </c>
      <c r="P170" s="1">
        <v>0.0</v>
      </c>
      <c r="Q170" s="1">
        <v>0.0</v>
      </c>
      <c r="R170" s="1" t="s">
        <v>53</v>
      </c>
      <c r="S170" s="1" t="s">
        <v>45</v>
      </c>
      <c r="U170" s="1" t="s">
        <v>55</v>
      </c>
      <c r="V170" s="1">
        <v>0.0</v>
      </c>
      <c r="W170" s="1">
        <v>21.0</v>
      </c>
      <c r="X170" s="1">
        <v>21.0</v>
      </c>
      <c r="Y170" s="1" t="s">
        <v>56</v>
      </c>
      <c r="AA170" s="1" t="s">
        <v>38</v>
      </c>
      <c r="AB170" s="1">
        <v>0.0</v>
      </c>
      <c r="AC170" s="1">
        <v>0.0</v>
      </c>
      <c r="AD170" s="1">
        <v>0.0</v>
      </c>
      <c r="AE170" s="6">
        <v>0.3333333333333333</v>
      </c>
      <c r="AF170" s="1" t="s">
        <v>39</v>
      </c>
    </row>
    <row r="171">
      <c r="B171" s="2">
        <v>46186.0</v>
      </c>
      <c r="C171" s="3">
        <v>0.3125</v>
      </c>
      <c r="D171" s="3">
        <v>0.3333333333333333</v>
      </c>
      <c r="E171" s="3">
        <v>0.3125</v>
      </c>
      <c r="F171" s="3">
        <v>0.34791666666666665</v>
      </c>
      <c r="G171" s="1">
        <v>2.08589766444E11</v>
      </c>
      <c r="H171" s="1" t="s">
        <v>313</v>
      </c>
      <c r="J171" s="1" t="s">
        <v>32</v>
      </c>
      <c r="K171" s="4">
        <f t="shared" ref="K171:K172" si="6">+523313219330</f>
        <v>523313219330</v>
      </c>
      <c r="L171" s="1" t="s">
        <v>90</v>
      </c>
      <c r="M171" s="1" t="s">
        <v>87</v>
      </c>
      <c r="P171" s="1">
        <v>0.0</v>
      </c>
      <c r="Q171" s="1">
        <v>0.0</v>
      </c>
      <c r="R171" s="1" t="s">
        <v>53</v>
      </c>
      <c r="S171" s="1" t="s">
        <v>45</v>
      </c>
      <c r="T171" s="1" t="s">
        <v>314</v>
      </c>
      <c r="U171" s="1" t="s">
        <v>55</v>
      </c>
      <c r="V171" s="1">
        <v>-1.0</v>
      </c>
      <c r="W171" s="1">
        <v>52.0</v>
      </c>
      <c r="X171" s="1">
        <v>51.0</v>
      </c>
      <c r="Y171" s="1" t="s">
        <v>56</v>
      </c>
      <c r="AA171" s="1" t="s">
        <v>38</v>
      </c>
      <c r="AB171" s="1">
        <v>0.0</v>
      </c>
      <c r="AC171" s="1">
        <v>0.0</v>
      </c>
      <c r="AD171" s="1">
        <v>0.0</v>
      </c>
      <c r="AE171" s="6">
        <v>0.31180555555555556</v>
      </c>
      <c r="AF171" s="1" t="s">
        <v>39</v>
      </c>
    </row>
    <row r="172">
      <c r="B172" s="2">
        <v>46186.0</v>
      </c>
      <c r="C172" s="3">
        <v>0.3125</v>
      </c>
      <c r="D172" s="3">
        <v>0.3333333333333333</v>
      </c>
      <c r="E172" s="3">
        <v>0.3125</v>
      </c>
      <c r="F172" s="3">
        <v>0.34791666666666665</v>
      </c>
      <c r="G172" s="1">
        <v>2.08589766444E11</v>
      </c>
      <c r="H172" s="1" t="s">
        <v>313</v>
      </c>
      <c r="J172" s="1" t="s">
        <v>32</v>
      </c>
      <c r="K172" s="4">
        <f t="shared" si="6"/>
        <v>523313219330</v>
      </c>
      <c r="L172" s="1" t="s">
        <v>90</v>
      </c>
      <c r="M172" s="1" t="s">
        <v>87</v>
      </c>
      <c r="P172" s="5">
        <v>0.0</v>
      </c>
      <c r="Q172" s="1">
        <v>0.0</v>
      </c>
      <c r="R172" s="1" t="s">
        <v>45</v>
      </c>
      <c r="S172" s="1" t="s">
        <v>45</v>
      </c>
      <c r="T172" s="1" t="s">
        <v>314</v>
      </c>
      <c r="U172" s="1" t="s">
        <v>55</v>
      </c>
      <c r="V172" s="1">
        <v>-1.0</v>
      </c>
      <c r="W172" s="1">
        <v>52.0</v>
      </c>
      <c r="X172" s="1">
        <v>51.0</v>
      </c>
      <c r="Y172" s="1" t="s">
        <v>56</v>
      </c>
      <c r="AA172" s="1" t="s">
        <v>38</v>
      </c>
      <c r="AB172" s="1">
        <v>0.0</v>
      </c>
      <c r="AC172" s="1">
        <v>0.0</v>
      </c>
      <c r="AD172" s="1">
        <v>0.0</v>
      </c>
      <c r="AE172" s="6">
        <v>0.31180555555555556</v>
      </c>
      <c r="AF172" s="1" t="s">
        <v>39</v>
      </c>
    </row>
    <row r="173">
      <c r="B173" s="2">
        <v>46186.0</v>
      </c>
      <c r="C173" s="3">
        <v>0.3402777777777778</v>
      </c>
      <c r="D173" s="3">
        <v>0.3472222222222222</v>
      </c>
      <c r="E173" s="3">
        <v>0.3402777777777778</v>
      </c>
      <c r="F173" s="3">
        <v>0.3486111111111111</v>
      </c>
      <c r="G173" s="1">
        <v>2.08377036386E11</v>
      </c>
      <c r="H173" s="1" t="s">
        <v>161</v>
      </c>
      <c r="J173" s="1" t="s">
        <v>32</v>
      </c>
      <c r="K173" s="4">
        <f t="shared" ref="K173:K174" si="7">+523326153847</f>
        <v>523326153847</v>
      </c>
      <c r="L173" s="1" t="s">
        <v>41</v>
      </c>
      <c r="M173" s="1" t="s">
        <v>42</v>
      </c>
      <c r="N173" s="1" t="s">
        <v>315</v>
      </c>
      <c r="P173" s="1">
        <v>0.0</v>
      </c>
      <c r="Q173" s="1">
        <v>0.0</v>
      </c>
      <c r="R173" s="1" t="s">
        <v>44</v>
      </c>
      <c r="S173" s="1" t="s">
        <v>70</v>
      </c>
      <c r="U173" s="1" t="s">
        <v>55</v>
      </c>
      <c r="V173" s="1">
        <v>11.0</v>
      </c>
      <c r="W173" s="1">
        <v>1.0</v>
      </c>
      <c r="X173" s="1">
        <v>12.0</v>
      </c>
      <c r="Y173" s="1" t="s">
        <v>155</v>
      </c>
      <c r="AA173" s="1" t="s">
        <v>38</v>
      </c>
      <c r="AB173" s="1">
        <v>0.0</v>
      </c>
      <c r="AC173" s="1">
        <v>0.0</v>
      </c>
      <c r="AD173" s="1">
        <v>0.0</v>
      </c>
      <c r="AE173" s="6">
        <v>0.34791666666666665</v>
      </c>
      <c r="AF173" s="1" t="s">
        <v>39</v>
      </c>
    </row>
    <row r="174">
      <c r="B174" s="2">
        <v>46186.0</v>
      </c>
      <c r="C174" s="3">
        <v>0.3333333333333333</v>
      </c>
      <c r="D174" s="3">
        <v>0.3541666666666667</v>
      </c>
      <c r="E174" s="3">
        <v>0.3333333333333333</v>
      </c>
      <c r="F174" s="3">
        <v>0.375</v>
      </c>
      <c r="G174" s="1">
        <v>2.08377036386E11</v>
      </c>
      <c r="H174" s="1" t="s">
        <v>161</v>
      </c>
      <c r="J174" s="1" t="s">
        <v>32</v>
      </c>
      <c r="K174" s="4">
        <f t="shared" si="7"/>
        <v>523326153847</v>
      </c>
      <c r="L174" s="1" t="s">
        <v>66</v>
      </c>
      <c r="M174" s="1" t="s">
        <v>34</v>
      </c>
      <c r="N174" s="1" t="s">
        <v>67</v>
      </c>
      <c r="P174" s="1">
        <v>0.0</v>
      </c>
      <c r="Q174" s="1">
        <v>0.0</v>
      </c>
      <c r="R174" s="1" t="s">
        <v>62</v>
      </c>
      <c r="S174" s="1" t="s">
        <v>70</v>
      </c>
      <c r="U174" s="1" t="s">
        <v>55</v>
      </c>
      <c r="V174" s="1">
        <v>21.0</v>
      </c>
      <c r="W174" s="1">
        <v>39.0</v>
      </c>
      <c r="X174" s="1">
        <v>60.0</v>
      </c>
      <c r="Y174" s="1" t="s">
        <v>50</v>
      </c>
      <c r="AA174" s="1" t="s">
        <v>38</v>
      </c>
      <c r="AB174" s="1">
        <v>0.0</v>
      </c>
      <c r="AC174" s="1">
        <v>0.0</v>
      </c>
      <c r="AD174" s="1">
        <v>0.0</v>
      </c>
      <c r="AE174" s="6">
        <v>0.34791666666666665</v>
      </c>
      <c r="AF174" s="1" t="s">
        <v>39</v>
      </c>
    </row>
    <row r="175">
      <c r="B175" s="2">
        <v>46186.0</v>
      </c>
      <c r="C175" s="3">
        <v>0.4166666666666667</v>
      </c>
      <c r="D175" s="3">
        <v>0.4583333333333333</v>
      </c>
      <c r="E175" s="3">
        <v>0.4166666666666667</v>
      </c>
      <c r="F175" s="3">
        <v>0.4909722222222222</v>
      </c>
      <c r="G175" s="1">
        <v>2.24566613093E11</v>
      </c>
      <c r="H175" s="1" t="s">
        <v>251</v>
      </c>
      <c r="J175" s="1" t="s">
        <v>32</v>
      </c>
      <c r="K175" s="4">
        <f>+5213334548259</f>
        <v>5213334548259</v>
      </c>
      <c r="L175" s="1" t="s">
        <v>83</v>
      </c>
      <c r="M175" s="1" t="s">
        <v>48</v>
      </c>
      <c r="N175" s="1" t="s">
        <v>316</v>
      </c>
      <c r="P175" s="1">
        <v>0.0</v>
      </c>
      <c r="R175" s="1" t="s">
        <v>62</v>
      </c>
      <c r="S175" s="1" t="s">
        <v>62</v>
      </c>
      <c r="U175" s="1" t="s">
        <v>36</v>
      </c>
      <c r="V175" s="1">
        <v>20.0</v>
      </c>
      <c r="W175" s="1">
        <v>87.0</v>
      </c>
      <c r="X175" s="1">
        <v>107.0</v>
      </c>
      <c r="Y175" s="1" t="s">
        <v>50</v>
      </c>
      <c r="AA175" s="1" t="s">
        <v>38</v>
      </c>
      <c r="AB175" s="1">
        <v>1.0</v>
      </c>
      <c r="AC175" s="5">
        <v>1300.0</v>
      </c>
      <c r="AD175" s="1">
        <v>0.0</v>
      </c>
      <c r="AE175" s="6">
        <v>0.4305555555555556</v>
      </c>
      <c r="AF175" s="1" t="s">
        <v>39</v>
      </c>
    </row>
    <row r="176">
      <c r="B176" s="2">
        <v>46186.0</v>
      </c>
      <c r="C176" s="3">
        <v>0.375</v>
      </c>
      <c r="D176" s="3">
        <v>0.3958333333333333</v>
      </c>
      <c r="E176" s="3">
        <v>0.3854166666666667</v>
      </c>
      <c r="F176" s="3">
        <v>0.42291666666666666</v>
      </c>
      <c r="G176" s="1">
        <v>1.93423262314E11</v>
      </c>
      <c r="H176" s="1" t="s">
        <v>317</v>
      </c>
      <c r="J176" s="1" t="s">
        <v>32</v>
      </c>
      <c r="K176" s="4">
        <f>+5212227736599</f>
        <v>5212227736599</v>
      </c>
      <c r="L176" s="1" t="s">
        <v>121</v>
      </c>
      <c r="M176" s="1" t="s">
        <v>59</v>
      </c>
      <c r="N176" s="1" t="s">
        <v>67</v>
      </c>
      <c r="P176" s="5">
        <v>0.0</v>
      </c>
      <c r="R176" s="1" t="s">
        <v>62</v>
      </c>
      <c r="S176" s="1" t="s">
        <v>62</v>
      </c>
      <c r="U176" s="1" t="s">
        <v>36</v>
      </c>
      <c r="V176" s="1">
        <v>13.0</v>
      </c>
      <c r="W176" s="1">
        <v>41.0</v>
      </c>
      <c r="X176" s="1">
        <v>54.0</v>
      </c>
      <c r="Y176" s="1" t="s">
        <v>50</v>
      </c>
      <c r="AA176" s="1" t="s">
        <v>38</v>
      </c>
      <c r="AB176" s="1">
        <v>0.0</v>
      </c>
      <c r="AC176" s="1">
        <v>0.0</v>
      </c>
      <c r="AD176" s="1">
        <v>0.0</v>
      </c>
      <c r="AE176" s="6">
        <v>0.39444444444444443</v>
      </c>
      <c r="AF176" s="1" t="s">
        <v>39</v>
      </c>
    </row>
    <row r="177">
      <c r="B177" s="2">
        <v>46186.0</v>
      </c>
      <c r="C177" s="3">
        <v>0.375</v>
      </c>
      <c r="D177" s="3">
        <v>0.40625</v>
      </c>
      <c r="E177" s="3">
        <v>0.375</v>
      </c>
      <c r="F177" s="3">
        <v>0.4111111111111111</v>
      </c>
      <c r="H177" s="1" t="s">
        <v>318</v>
      </c>
      <c r="J177" s="1" t="s">
        <v>32</v>
      </c>
      <c r="K177" s="1">
        <v>3.312658026E9</v>
      </c>
      <c r="L177" s="1" t="s">
        <v>75</v>
      </c>
      <c r="M177" s="1" t="s">
        <v>42</v>
      </c>
      <c r="N177" s="1" t="s">
        <v>319</v>
      </c>
      <c r="P177" s="5">
        <v>0.0</v>
      </c>
      <c r="Q177" s="1">
        <v>0.0</v>
      </c>
      <c r="R177" s="1" t="s">
        <v>53</v>
      </c>
      <c r="S177" s="1" t="s">
        <v>35</v>
      </c>
      <c r="U177" s="1" t="s">
        <v>36</v>
      </c>
      <c r="V177" s="1">
        <v>29.0</v>
      </c>
      <c r="W177" s="1">
        <v>23.0</v>
      </c>
      <c r="X177" s="1">
        <v>52.0</v>
      </c>
      <c r="Y177" s="1" t="s">
        <v>46</v>
      </c>
      <c r="AA177" s="1" t="s">
        <v>38</v>
      </c>
      <c r="AB177" s="1">
        <v>0.0</v>
      </c>
      <c r="AC177" s="1">
        <v>0.0</v>
      </c>
      <c r="AD177" s="1">
        <v>0.0</v>
      </c>
      <c r="AE177" s="6">
        <v>0.3951388888888889</v>
      </c>
      <c r="AF177" s="1" t="s">
        <v>39</v>
      </c>
    </row>
    <row r="178">
      <c r="B178" s="2">
        <v>46186.0</v>
      </c>
      <c r="C178" s="3">
        <v>0.3333333333333333</v>
      </c>
      <c r="D178" s="3">
        <v>0.375</v>
      </c>
      <c r="E178" s="3">
        <v>0.3333333333333333</v>
      </c>
      <c r="F178" s="3">
        <v>0.37916666666666665</v>
      </c>
      <c r="G178" s="1">
        <v>2.24010540914E11</v>
      </c>
      <c r="H178" s="1" t="s">
        <v>252</v>
      </c>
      <c r="J178" s="1" t="s">
        <v>32</v>
      </c>
      <c r="K178" s="4">
        <f>+523313113080</f>
        <v>523313113080</v>
      </c>
      <c r="L178" s="1" t="s">
        <v>83</v>
      </c>
      <c r="M178" s="1" t="s">
        <v>48</v>
      </c>
      <c r="N178" s="1" t="s">
        <v>320</v>
      </c>
      <c r="P178" s="5">
        <v>0.0</v>
      </c>
      <c r="R178" s="1" t="s">
        <v>35</v>
      </c>
      <c r="S178" s="1" t="s">
        <v>35</v>
      </c>
      <c r="U178" s="1" t="s">
        <v>36</v>
      </c>
      <c r="V178" s="1">
        <v>20.0</v>
      </c>
      <c r="W178" s="1">
        <v>46.0</v>
      </c>
      <c r="X178" s="1">
        <v>66.0</v>
      </c>
      <c r="Y178" s="1" t="s">
        <v>50</v>
      </c>
      <c r="AA178" s="1" t="s">
        <v>38</v>
      </c>
      <c r="AB178" s="1">
        <v>1.0</v>
      </c>
      <c r="AC178" s="1">
        <v>0.0</v>
      </c>
      <c r="AD178" s="1">
        <v>0.0</v>
      </c>
      <c r="AE178" s="6">
        <v>0.3472222222222222</v>
      </c>
      <c r="AF178" s="1" t="s">
        <v>39</v>
      </c>
    </row>
    <row r="179">
      <c r="B179" s="2">
        <v>46186.0</v>
      </c>
      <c r="C179" s="3">
        <v>0.4583333333333333</v>
      </c>
      <c r="D179" s="3">
        <v>0.5</v>
      </c>
      <c r="E179" s="3">
        <v>0.4583333333333333</v>
      </c>
      <c r="F179" s="3">
        <v>0.49375</v>
      </c>
      <c r="G179" s="1">
        <v>2.17014022659E11</v>
      </c>
      <c r="H179" s="1" t="s">
        <v>321</v>
      </c>
      <c r="J179" s="1" t="s">
        <v>32</v>
      </c>
      <c r="K179" s="4">
        <f>+523112554485</f>
        <v>523112554485</v>
      </c>
      <c r="L179" s="1" t="s">
        <v>105</v>
      </c>
      <c r="M179" s="1" t="s">
        <v>48</v>
      </c>
      <c r="N179" s="1" t="s">
        <v>322</v>
      </c>
      <c r="P179" s="1">
        <v>0.0</v>
      </c>
      <c r="Q179" s="1">
        <v>0.0</v>
      </c>
      <c r="R179" s="1" t="s">
        <v>35</v>
      </c>
      <c r="S179" s="1" t="s">
        <v>35</v>
      </c>
      <c r="U179" s="1" t="s">
        <v>55</v>
      </c>
      <c r="V179" s="1">
        <v>49.0</v>
      </c>
      <c r="W179" s="1">
        <v>2.0</v>
      </c>
      <c r="X179" s="1">
        <v>51.0</v>
      </c>
      <c r="Y179" s="1" t="s">
        <v>50</v>
      </c>
      <c r="AA179" s="1" t="s">
        <v>38</v>
      </c>
      <c r="AB179" s="1">
        <v>0.0</v>
      </c>
      <c r="AC179" s="1">
        <v>0.0</v>
      </c>
      <c r="AD179" s="1">
        <v>0.0</v>
      </c>
      <c r="AE179" s="6">
        <v>0.49236111111111114</v>
      </c>
      <c r="AF179" s="1" t="s">
        <v>39</v>
      </c>
    </row>
    <row r="180">
      <c r="B180" s="2">
        <v>46185.0</v>
      </c>
      <c r="C180" s="3">
        <v>0.6458333333333334</v>
      </c>
      <c r="D180" s="3">
        <v>0.6666666666666666</v>
      </c>
      <c r="E180" s="3">
        <v>0.6444444444444445</v>
      </c>
      <c r="F180" s="3">
        <v>0.6604166666666667</v>
      </c>
      <c r="G180" s="1">
        <v>1.64157311103E11</v>
      </c>
      <c r="H180" s="1" t="s">
        <v>163</v>
      </c>
      <c r="J180" s="1" t="s">
        <v>32</v>
      </c>
      <c r="K180" s="4">
        <f>+523314665402</f>
        <v>523314665402</v>
      </c>
      <c r="L180" s="1" t="s">
        <v>66</v>
      </c>
      <c r="M180" s="1" t="s">
        <v>34</v>
      </c>
      <c r="P180" s="5">
        <v>0.0</v>
      </c>
      <c r="Q180" s="1">
        <v>0.0</v>
      </c>
      <c r="R180" s="1" t="s">
        <v>45</v>
      </c>
      <c r="S180" s="1" t="s">
        <v>45</v>
      </c>
      <c r="U180" s="1" t="s">
        <v>164</v>
      </c>
      <c r="V180" s="1">
        <v>0.0</v>
      </c>
      <c r="W180" s="1">
        <v>23.0</v>
      </c>
      <c r="X180" s="1">
        <v>23.0</v>
      </c>
      <c r="Y180" s="1" t="s">
        <v>56</v>
      </c>
      <c r="AA180" s="1" t="s">
        <v>38</v>
      </c>
      <c r="AB180" s="1">
        <v>0.0</v>
      </c>
      <c r="AC180" s="1">
        <v>0.0</v>
      </c>
      <c r="AD180" s="1">
        <v>0.0</v>
      </c>
      <c r="AE180" s="6">
        <v>0.6444444444444445</v>
      </c>
      <c r="AF180" s="1" t="s">
        <v>39</v>
      </c>
    </row>
    <row r="181">
      <c r="B181" s="2">
        <v>46185.0</v>
      </c>
      <c r="C181" s="3">
        <v>0.6666666666666666</v>
      </c>
      <c r="D181" s="3">
        <v>0.7083333333333334</v>
      </c>
      <c r="E181" s="3">
        <v>0.6638888888888889</v>
      </c>
      <c r="F181" s="3">
        <v>0.6708333333333333</v>
      </c>
      <c r="G181" s="1">
        <v>2.28022198859E11</v>
      </c>
      <c r="H181" s="1" t="s">
        <v>323</v>
      </c>
      <c r="J181" s="1" t="s">
        <v>32</v>
      </c>
      <c r="K181" s="4">
        <f>+523322546658</f>
        <v>523322546658</v>
      </c>
      <c r="L181" s="1" t="s">
        <v>105</v>
      </c>
      <c r="M181" s="1" t="s">
        <v>48</v>
      </c>
      <c r="N181" s="1" t="s">
        <v>324</v>
      </c>
      <c r="P181" s="5">
        <v>0.0</v>
      </c>
      <c r="R181" s="1" t="s">
        <v>62</v>
      </c>
      <c r="S181" s="1" t="s">
        <v>62</v>
      </c>
      <c r="U181" s="1" t="s">
        <v>36</v>
      </c>
      <c r="V181" s="1">
        <v>0.0</v>
      </c>
      <c r="W181" s="1">
        <v>10.0</v>
      </c>
      <c r="X181" s="1">
        <v>10.0</v>
      </c>
      <c r="Y181" s="1" t="s">
        <v>50</v>
      </c>
      <c r="AA181" s="1" t="s">
        <v>38</v>
      </c>
      <c r="AB181" s="1">
        <v>0.0</v>
      </c>
      <c r="AC181" s="1">
        <v>0.0</v>
      </c>
      <c r="AD181" s="1">
        <v>0.0</v>
      </c>
      <c r="AE181" s="6">
        <v>0.6638888888888889</v>
      </c>
      <c r="AF181" s="1" t="s">
        <v>39</v>
      </c>
    </row>
    <row r="182">
      <c r="B182" s="2">
        <v>46185.0</v>
      </c>
      <c r="C182" s="3">
        <v>0.75</v>
      </c>
      <c r="D182" s="3">
        <v>0.7916666666666666</v>
      </c>
      <c r="E182" s="3">
        <v>0.7513888888888889</v>
      </c>
      <c r="F182" s="3">
        <v>0.7923611111111111</v>
      </c>
      <c r="G182" s="7">
        <v>2.2803195996E11</v>
      </c>
      <c r="H182" s="1" t="s">
        <v>302</v>
      </c>
      <c r="J182" s="1" t="s">
        <v>32</v>
      </c>
      <c r="K182" s="4">
        <f>+524931147628</f>
        <v>524931147628</v>
      </c>
      <c r="L182" s="1" t="s">
        <v>83</v>
      </c>
      <c r="M182" s="1" t="s">
        <v>48</v>
      </c>
      <c r="N182" s="1" t="s">
        <v>325</v>
      </c>
      <c r="P182" s="1">
        <v>0.0</v>
      </c>
      <c r="R182" s="1" t="s">
        <v>62</v>
      </c>
      <c r="S182" s="1" t="s">
        <v>62</v>
      </c>
      <c r="U182" s="1" t="s">
        <v>36</v>
      </c>
      <c r="V182" s="1">
        <v>32.0</v>
      </c>
      <c r="W182" s="1">
        <v>27.0</v>
      </c>
      <c r="X182" s="1">
        <v>59.0</v>
      </c>
      <c r="Y182" s="1" t="s">
        <v>50</v>
      </c>
      <c r="AA182" s="1" t="s">
        <v>38</v>
      </c>
      <c r="AB182" s="1">
        <v>1.0</v>
      </c>
      <c r="AC182" s="1">
        <v>0.0</v>
      </c>
      <c r="AD182" s="1">
        <v>0.0</v>
      </c>
      <c r="AE182" s="6">
        <v>0.7736111111111111</v>
      </c>
      <c r="AF182" s="1" t="s">
        <v>39</v>
      </c>
    </row>
    <row r="183">
      <c r="B183" s="2">
        <v>46185.0</v>
      </c>
      <c r="C183" s="3">
        <v>0.4791666666666667</v>
      </c>
      <c r="D183" s="3">
        <v>0.5104166666666666</v>
      </c>
      <c r="E183" s="3">
        <v>0.4791666666666667</v>
      </c>
      <c r="F183" s="3">
        <v>0.48680555555555555</v>
      </c>
      <c r="H183" s="1" t="s">
        <v>326</v>
      </c>
      <c r="J183" s="1" t="s">
        <v>32</v>
      </c>
      <c r="K183" s="4" t="str">
        <f>+91 96777 25453</f>
        <v>#ERROR!</v>
      </c>
      <c r="L183" s="1" t="s">
        <v>75</v>
      </c>
      <c r="M183" s="1" t="s">
        <v>42</v>
      </c>
      <c r="P183" s="1">
        <v>0.0</v>
      </c>
      <c r="R183" s="1" t="s">
        <v>53</v>
      </c>
      <c r="S183" s="1" t="s">
        <v>314</v>
      </c>
      <c r="U183" s="1" t="s">
        <v>55</v>
      </c>
      <c r="V183" s="1">
        <v>2.0</v>
      </c>
      <c r="W183" s="1">
        <v>9.0</v>
      </c>
      <c r="X183" s="1">
        <v>11.0</v>
      </c>
      <c r="Y183" s="1" t="s">
        <v>78</v>
      </c>
      <c r="AA183" s="1" t="s">
        <v>38</v>
      </c>
      <c r="AB183" s="1">
        <v>0.0</v>
      </c>
      <c r="AC183" s="1">
        <v>0.0</v>
      </c>
      <c r="AD183" s="1">
        <v>0.0</v>
      </c>
      <c r="AE183" s="6">
        <v>0.48055555555555557</v>
      </c>
      <c r="AF183" s="1" t="s">
        <v>39</v>
      </c>
    </row>
    <row r="184">
      <c r="B184" s="2">
        <v>46185.0</v>
      </c>
      <c r="C184" s="3">
        <v>0.4583333333333333</v>
      </c>
      <c r="D184" s="3">
        <v>0.4652777777777778</v>
      </c>
      <c r="E184" s="3">
        <v>0.4583333333333333</v>
      </c>
      <c r="F184" s="3">
        <v>0.4597222222222222</v>
      </c>
      <c r="H184" s="1" t="s">
        <v>312</v>
      </c>
      <c r="J184" s="1" t="s">
        <v>32</v>
      </c>
      <c r="K184" s="1">
        <v>12321.0</v>
      </c>
      <c r="L184" s="1" t="s">
        <v>41</v>
      </c>
      <c r="M184" s="1" t="s">
        <v>42</v>
      </c>
      <c r="N184" s="1" t="s">
        <v>327</v>
      </c>
      <c r="P184" s="5">
        <v>0.0</v>
      </c>
      <c r="Q184" s="1">
        <v>0.0</v>
      </c>
      <c r="R184" s="1" t="s">
        <v>44</v>
      </c>
      <c r="S184" s="1" t="s">
        <v>45</v>
      </c>
      <c r="U184" s="1" t="s">
        <v>55</v>
      </c>
      <c r="V184" s="1">
        <v>0.0</v>
      </c>
      <c r="W184" s="1">
        <v>2.0</v>
      </c>
      <c r="X184" s="1">
        <v>2.0</v>
      </c>
      <c r="Y184" s="1" t="s">
        <v>56</v>
      </c>
      <c r="AA184" s="1" t="s">
        <v>38</v>
      </c>
      <c r="AB184" s="1">
        <v>0.0</v>
      </c>
      <c r="AC184" s="1">
        <v>0.0</v>
      </c>
      <c r="AD184" s="1">
        <v>0.0</v>
      </c>
      <c r="AE184" s="6">
        <v>0.4583333333333333</v>
      </c>
      <c r="AF184" s="1" t="s">
        <v>39</v>
      </c>
    </row>
    <row r="185">
      <c r="B185" s="2">
        <v>46185.0</v>
      </c>
      <c r="C185" s="3">
        <v>0.3541666666666667</v>
      </c>
      <c r="D185" s="3">
        <v>0.3611111111111111</v>
      </c>
      <c r="E185" s="3">
        <v>0.3541666666666667</v>
      </c>
      <c r="F185" s="3">
        <v>0.3597222222222222</v>
      </c>
      <c r="G185" s="1">
        <v>2.0984986002E11</v>
      </c>
      <c r="H185" s="1" t="s">
        <v>180</v>
      </c>
      <c r="J185" s="1" t="s">
        <v>32</v>
      </c>
      <c r="K185" s="4" t="str">
        <f>+52 33 3167 0108</f>
        <v>#ERROR!</v>
      </c>
      <c r="L185" s="1" t="s">
        <v>41</v>
      </c>
      <c r="M185" s="1" t="s">
        <v>42</v>
      </c>
      <c r="N185" s="1" t="s">
        <v>328</v>
      </c>
      <c r="P185" s="1">
        <v>0.0</v>
      </c>
      <c r="Q185" s="1">
        <v>0.0</v>
      </c>
      <c r="R185" s="1" t="s">
        <v>44</v>
      </c>
      <c r="S185" s="1" t="s">
        <v>45</v>
      </c>
      <c r="U185" s="1" t="s">
        <v>36</v>
      </c>
      <c r="V185" s="1">
        <v>0.0</v>
      </c>
      <c r="W185" s="1">
        <v>8.0</v>
      </c>
      <c r="X185" s="1">
        <v>8.0</v>
      </c>
      <c r="Y185" s="1" t="s">
        <v>155</v>
      </c>
      <c r="AA185" s="1" t="s">
        <v>38</v>
      </c>
      <c r="AB185" s="1">
        <v>0.0</v>
      </c>
      <c r="AC185" s="1">
        <v>0.0</v>
      </c>
      <c r="AD185" s="1">
        <v>0.0</v>
      </c>
      <c r="AE185" s="6">
        <v>0.3541666666666667</v>
      </c>
      <c r="AF185" s="1" t="s">
        <v>39</v>
      </c>
    </row>
    <row r="186">
      <c r="B186" s="2">
        <v>46185.0</v>
      </c>
      <c r="C186" s="3">
        <v>0.7083333333333334</v>
      </c>
      <c r="D186" s="3">
        <v>0.75</v>
      </c>
      <c r="E186" s="3">
        <v>0.7083333333333334</v>
      </c>
      <c r="F186" s="3">
        <v>0.7340277777777777</v>
      </c>
      <c r="G186" s="1">
        <v>2.27362190385E11</v>
      </c>
      <c r="H186" s="1" t="s">
        <v>329</v>
      </c>
      <c r="J186" s="1" t="s">
        <v>32</v>
      </c>
      <c r="K186" s="4">
        <f>+5215521095633</f>
        <v>5215521095633</v>
      </c>
      <c r="L186" s="1" t="s">
        <v>105</v>
      </c>
      <c r="M186" s="1" t="s">
        <v>48</v>
      </c>
      <c r="N186" s="1" t="s">
        <v>330</v>
      </c>
      <c r="P186" s="1">
        <v>0.0</v>
      </c>
      <c r="R186" s="1" t="s">
        <v>35</v>
      </c>
      <c r="S186" s="1" t="s">
        <v>35</v>
      </c>
      <c r="U186" s="1" t="s">
        <v>36</v>
      </c>
      <c r="V186" s="1">
        <v>0.0</v>
      </c>
      <c r="W186" s="1">
        <v>37.0</v>
      </c>
      <c r="X186" s="1">
        <v>37.0</v>
      </c>
      <c r="Y186" s="1" t="s">
        <v>50</v>
      </c>
      <c r="AA186" s="1" t="s">
        <v>38</v>
      </c>
      <c r="AB186" s="1">
        <v>0.0</v>
      </c>
      <c r="AC186" s="1">
        <v>0.0</v>
      </c>
      <c r="AD186" s="1">
        <v>0.0</v>
      </c>
      <c r="AE186" s="6">
        <v>0.7083333333333334</v>
      </c>
      <c r="AF186" s="1" t="s">
        <v>39</v>
      </c>
    </row>
    <row r="187">
      <c r="B187" s="2">
        <v>46185.0</v>
      </c>
      <c r="C187" s="3">
        <v>0.6666666666666666</v>
      </c>
      <c r="D187" s="3">
        <v>0.6875</v>
      </c>
      <c r="E187" s="3">
        <v>0.6666666666666666</v>
      </c>
      <c r="F187" s="3">
        <v>0.7736111111111111</v>
      </c>
      <c r="H187" s="1" t="s">
        <v>65</v>
      </c>
      <c r="J187" s="1" t="s">
        <v>32</v>
      </c>
      <c r="K187" s="4">
        <f>+52-34-81-76059</f>
        <v>-76122</v>
      </c>
      <c r="L187" s="1" t="s">
        <v>101</v>
      </c>
      <c r="M187" s="1" t="s">
        <v>59</v>
      </c>
      <c r="N187" s="1" t="s">
        <v>67</v>
      </c>
      <c r="P187" s="5">
        <v>28000.0</v>
      </c>
      <c r="Q187" s="1">
        <v>0.0</v>
      </c>
      <c r="R187" s="1" t="s">
        <v>45</v>
      </c>
      <c r="S187" s="1" t="s">
        <v>45</v>
      </c>
      <c r="U187" s="1" t="s">
        <v>55</v>
      </c>
      <c r="V187" s="1">
        <v>0.0</v>
      </c>
      <c r="W187" s="1">
        <v>154.0</v>
      </c>
      <c r="X187" s="1">
        <v>154.0</v>
      </c>
      <c r="Y187" s="1" t="s">
        <v>50</v>
      </c>
      <c r="AA187" s="1" t="s">
        <v>38</v>
      </c>
      <c r="AB187" s="1">
        <v>0.0</v>
      </c>
      <c r="AC187" s="1">
        <v>0.0</v>
      </c>
      <c r="AD187" s="1">
        <v>0.0</v>
      </c>
      <c r="AE187" s="6">
        <v>0.6666666666666666</v>
      </c>
      <c r="AF187" s="1" t="s">
        <v>39</v>
      </c>
    </row>
    <row r="188">
      <c r="B188" s="2">
        <v>46185.0</v>
      </c>
      <c r="C188" s="3">
        <v>0.3958333333333333</v>
      </c>
      <c r="D188" s="3">
        <v>0.40625</v>
      </c>
      <c r="E188" s="3">
        <v>0.3958333333333333</v>
      </c>
      <c r="F188" s="3">
        <v>0.4048611111111111</v>
      </c>
      <c r="G188" s="1">
        <v>2.1112313358E11</v>
      </c>
      <c r="H188" s="1" t="s">
        <v>120</v>
      </c>
      <c r="J188" s="1" t="s">
        <v>32</v>
      </c>
      <c r="K188" s="4">
        <f>+523312987115</f>
        <v>523312987115</v>
      </c>
      <c r="L188" s="1" t="s">
        <v>97</v>
      </c>
      <c r="M188" s="1" t="s">
        <v>42</v>
      </c>
      <c r="N188" s="1" t="s">
        <v>331</v>
      </c>
      <c r="P188" s="1">
        <v>0.0</v>
      </c>
      <c r="Q188" s="1">
        <v>0.0</v>
      </c>
      <c r="R188" s="1" t="s">
        <v>44</v>
      </c>
      <c r="S188" s="1" t="s">
        <v>122</v>
      </c>
      <c r="U188" s="1" t="s">
        <v>36</v>
      </c>
      <c r="V188" s="1">
        <v>0.0</v>
      </c>
      <c r="W188" s="1">
        <v>13.0</v>
      </c>
      <c r="X188" s="1">
        <v>13.0</v>
      </c>
      <c r="Y188" s="1" t="s">
        <v>56</v>
      </c>
      <c r="AA188" s="1" t="s">
        <v>38</v>
      </c>
      <c r="AB188" s="1">
        <v>0.0</v>
      </c>
      <c r="AC188" s="1">
        <v>0.0</v>
      </c>
      <c r="AD188" s="1">
        <v>0.0</v>
      </c>
      <c r="AE188" s="6">
        <v>0.3958333333333333</v>
      </c>
      <c r="AF188" s="1" t="s">
        <v>39</v>
      </c>
    </row>
    <row r="189">
      <c r="B189" s="2">
        <v>46185.0</v>
      </c>
      <c r="C189" s="3">
        <v>0.6666666666666666</v>
      </c>
      <c r="D189" s="3">
        <v>0.7083333333333334</v>
      </c>
      <c r="E189" s="3">
        <v>0.6708333333333333</v>
      </c>
      <c r="F189" s="3">
        <v>0.6881944444444444</v>
      </c>
      <c r="G189" s="1">
        <v>2.27705586501E11</v>
      </c>
      <c r="H189" s="1" t="s">
        <v>291</v>
      </c>
      <c r="J189" s="1" t="s">
        <v>32</v>
      </c>
      <c r="K189" s="4">
        <f>+523339557909</f>
        <v>523339557909</v>
      </c>
      <c r="L189" s="1" t="s">
        <v>83</v>
      </c>
      <c r="M189" s="1" t="s">
        <v>48</v>
      </c>
      <c r="N189" s="1" t="s">
        <v>332</v>
      </c>
      <c r="P189" s="1">
        <v>0.0</v>
      </c>
      <c r="R189" s="1" t="s">
        <v>35</v>
      </c>
      <c r="S189" s="1" t="s">
        <v>35</v>
      </c>
      <c r="U189" s="1" t="s">
        <v>36</v>
      </c>
      <c r="V189" s="1">
        <v>0.0</v>
      </c>
      <c r="W189" s="1">
        <v>25.0</v>
      </c>
      <c r="X189" s="1">
        <v>25.0</v>
      </c>
      <c r="Y189" s="1" t="s">
        <v>50</v>
      </c>
      <c r="AA189" s="1" t="s">
        <v>38</v>
      </c>
      <c r="AB189" s="1">
        <v>0.0</v>
      </c>
      <c r="AC189" s="1">
        <v>0.0</v>
      </c>
      <c r="AD189" s="1">
        <v>0.0</v>
      </c>
      <c r="AE189" s="6">
        <v>0.6708333333333333</v>
      </c>
      <c r="AF189" s="1" t="s">
        <v>39</v>
      </c>
    </row>
    <row r="190">
      <c r="B190" s="2">
        <v>46185.0</v>
      </c>
      <c r="C190" s="3">
        <v>0.59375</v>
      </c>
      <c r="D190" s="3">
        <v>0.6041666666666666</v>
      </c>
      <c r="E190" s="3">
        <v>0.59375</v>
      </c>
      <c r="F190" s="3">
        <v>0.6013888888888889</v>
      </c>
      <c r="G190" s="1">
        <v>2.25610807088E11</v>
      </c>
      <c r="H190" s="1" t="s">
        <v>333</v>
      </c>
      <c r="J190" s="1" t="s">
        <v>32</v>
      </c>
      <c r="K190" s="4">
        <f>+5213315992265</f>
        <v>5213315992265</v>
      </c>
      <c r="L190" s="1" t="s">
        <v>33</v>
      </c>
      <c r="M190" s="1" t="s">
        <v>34</v>
      </c>
      <c r="N190" s="1" t="s">
        <v>334</v>
      </c>
      <c r="P190" s="1">
        <v>0.0</v>
      </c>
      <c r="R190" s="1" t="s">
        <v>35</v>
      </c>
      <c r="S190" s="1" t="s">
        <v>35</v>
      </c>
      <c r="U190" s="1" t="s">
        <v>36</v>
      </c>
      <c r="V190" s="1">
        <v>0.0</v>
      </c>
      <c r="W190" s="1">
        <v>11.0</v>
      </c>
      <c r="X190" s="1">
        <v>11.0</v>
      </c>
      <c r="Y190" s="1" t="s">
        <v>37</v>
      </c>
      <c r="AA190" s="1" t="s">
        <v>38</v>
      </c>
      <c r="AB190" s="1">
        <v>0.0</v>
      </c>
      <c r="AC190" s="1">
        <v>0.0</v>
      </c>
      <c r="AD190" s="1">
        <v>0.0</v>
      </c>
      <c r="AE190" s="6">
        <v>0.59375</v>
      </c>
      <c r="AF190" s="1" t="s">
        <v>39</v>
      </c>
    </row>
    <row r="191">
      <c r="B191" s="2">
        <v>46185.0</v>
      </c>
      <c r="C191" s="3">
        <v>0.5833333333333334</v>
      </c>
      <c r="D191" s="3">
        <v>0.59375</v>
      </c>
      <c r="E191" s="3">
        <v>0.5833333333333334</v>
      </c>
      <c r="F191" s="3">
        <v>0.5909722222222222</v>
      </c>
      <c r="G191" s="1">
        <v>2.26422563688E11</v>
      </c>
      <c r="H191" s="1" t="s">
        <v>335</v>
      </c>
      <c r="J191" s="1" t="s">
        <v>32</v>
      </c>
      <c r="K191" s="4">
        <f>+523310176006</f>
        <v>523310176006</v>
      </c>
      <c r="L191" s="1" t="s">
        <v>33</v>
      </c>
      <c r="M191" s="1" t="s">
        <v>34</v>
      </c>
      <c r="N191" s="1" t="s">
        <v>336</v>
      </c>
      <c r="P191" s="1">
        <v>0.0</v>
      </c>
      <c r="R191" s="1" t="s">
        <v>35</v>
      </c>
      <c r="S191" s="1" t="s">
        <v>35</v>
      </c>
      <c r="U191" s="1" t="s">
        <v>36</v>
      </c>
      <c r="V191" s="1">
        <v>0.0</v>
      </c>
      <c r="W191" s="1">
        <v>11.0</v>
      </c>
      <c r="X191" s="1">
        <v>11.0</v>
      </c>
      <c r="Y191" s="1" t="s">
        <v>37</v>
      </c>
      <c r="AA191" s="1" t="s">
        <v>38</v>
      </c>
      <c r="AB191" s="1">
        <v>0.0</v>
      </c>
      <c r="AC191" s="1">
        <v>0.0</v>
      </c>
      <c r="AD191" s="1">
        <v>0.0</v>
      </c>
      <c r="AE191" s="6">
        <v>0.5833333333333334</v>
      </c>
      <c r="AF191" s="1" t="s">
        <v>39</v>
      </c>
    </row>
    <row r="192">
      <c r="B192" s="2">
        <v>46185.0</v>
      </c>
      <c r="C192" s="3">
        <v>0.5</v>
      </c>
      <c r="D192" s="3">
        <v>0.5104166666666666</v>
      </c>
      <c r="E192" s="3">
        <v>0.5</v>
      </c>
      <c r="F192" s="3">
        <v>0.3138888888888889</v>
      </c>
      <c r="G192" s="1">
        <v>2.26099744282E11</v>
      </c>
      <c r="H192" s="1" t="s">
        <v>337</v>
      </c>
      <c r="J192" s="1" t="s">
        <v>32</v>
      </c>
      <c r="K192" s="4">
        <f>+526871258529</f>
        <v>526871258529</v>
      </c>
      <c r="L192" s="1" t="s">
        <v>33</v>
      </c>
      <c r="M192" s="1" t="s">
        <v>34</v>
      </c>
      <c r="N192" s="1" t="s">
        <v>338</v>
      </c>
      <c r="P192" s="5">
        <v>0.0</v>
      </c>
      <c r="R192" s="1" t="s">
        <v>236</v>
      </c>
      <c r="S192" s="1" t="s">
        <v>236</v>
      </c>
      <c r="U192" s="1" t="s">
        <v>36</v>
      </c>
      <c r="V192" s="1">
        <v>0.0</v>
      </c>
      <c r="W192" s="1">
        <v>-268.0</v>
      </c>
      <c r="X192" s="1">
        <v>-268.0</v>
      </c>
      <c r="Y192" s="1" t="s">
        <v>56</v>
      </c>
      <c r="AA192" s="1" t="s">
        <v>38</v>
      </c>
      <c r="AB192" s="1">
        <v>0.0</v>
      </c>
      <c r="AC192" s="1">
        <v>0.0</v>
      </c>
      <c r="AD192" s="1">
        <v>0.0</v>
      </c>
      <c r="AE192" s="6">
        <v>0.5</v>
      </c>
      <c r="AF192" s="1" t="s">
        <v>39</v>
      </c>
    </row>
    <row r="193">
      <c r="B193" s="2">
        <v>46185.0</v>
      </c>
      <c r="C193" s="3">
        <v>0.375</v>
      </c>
      <c r="D193" s="3">
        <v>0.40625</v>
      </c>
      <c r="E193" s="3">
        <v>0.375</v>
      </c>
      <c r="F193" s="3">
        <v>0.4041666666666667</v>
      </c>
      <c r="H193" s="1" t="s">
        <v>339</v>
      </c>
      <c r="J193" s="1" t="s">
        <v>32</v>
      </c>
      <c r="K193" s="4" t="str">
        <f>+52 481 117 3336</f>
        <v>#ERROR!</v>
      </c>
      <c r="L193" s="1" t="s">
        <v>158</v>
      </c>
      <c r="M193" s="1" t="s">
        <v>42</v>
      </c>
      <c r="P193" s="1">
        <v>0.0</v>
      </c>
      <c r="Q193" s="5">
        <v>-62999.99</v>
      </c>
      <c r="R193" s="1" t="s">
        <v>53</v>
      </c>
      <c r="S193" s="1" t="s">
        <v>194</v>
      </c>
      <c r="U193" s="1" t="s">
        <v>55</v>
      </c>
      <c r="V193" s="1">
        <v>0.0</v>
      </c>
      <c r="W193" s="1">
        <v>42.0</v>
      </c>
      <c r="X193" s="1">
        <v>42.0</v>
      </c>
      <c r="Y193" s="1" t="s">
        <v>78</v>
      </c>
      <c r="AA193" s="1" t="s">
        <v>38</v>
      </c>
      <c r="AB193" s="1">
        <v>0.0</v>
      </c>
      <c r="AC193" s="1">
        <v>0.0</v>
      </c>
      <c r="AD193" s="1">
        <v>0.0</v>
      </c>
      <c r="AE193" s="6">
        <v>0.375</v>
      </c>
      <c r="AF193" s="1" t="s">
        <v>39</v>
      </c>
    </row>
    <row r="194">
      <c r="B194" s="2">
        <v>46185.0</v>
      </c>
      <c r="C194" s="3">
        <v>0.3541666666666667</v>
      </c>
      <c r="D194" s="3">
        <v>0.375</v>
      </c>
      <c r="E194" s="3">
        <v>0.3541666666666667</v>
      </c>
      <c r="F194" s="3">
        <v>0.37222222222222223</v>
      </c>
      <c r="H194" s="1" t="s">
        <v>340</v>
      </c>
      <c r="J194" s="1" t="s">
        <v>32</v>
      </c>
      <c r="K194" s="4" t="str">
        <f>+52 481 117 3336</f>
        <v>#ERROR!</v>
      </c>
      <c r="L194" s="1" t="s">
        <v>90</v>
      </c>
      <c r="M194" s="1" t="s">
        <v>87</v>
      </c>
      <c r="N194" s="1" t="s">
        <v>341</v>
      </c>
      <c r="P194" s="5">
        <v>-62999.99</v>
      </c>
      <c r="Q194" s="1">
        <v>0.0</v>
      </c>
      <c r="R194" s="1" t="s">
        <v>53</v>
      </c>
      <c r="S194" s="1" t="s">
        <v>194</v>
      </c>
      <c r="U194" s="1" t="s">
        <v>55</v>
      </c>
      <c r="V194" s="1">
        <v>0.0</v>
      </c>
      <c r="W194" s="1">
        <v>26.0</v>
      </c>
      <c r="X194" s="1">
        <v>26.0</v>
      </c>
      <c r="Y194" s="1" t="s">
        <v>78</v>
      </c>
      <c r="AA194" s="1" t="s">
        <v>38</v>
      </c>
      <c r="AB194" s="1">
        <v>0.0</v>
      </c>
      <c r="AC194" s="1">
        <v>0.0</v>
      </c>
      <c r="AD194" s="1">
        <v>0.0</v>
      </c>
      <c r="AE194" s="6">
        <v>0.3541666666666667</v>
      </c>
      <c r="AF194" s="1" t="s">
        <v>39</v>
      </c>
    </row>
    <row r="195">
      <c r="B195" s="2">
        <v>46185.0</v>
      </c>
      <c r="C195" s="3">
        <v>0.4618055555555556</v>
      </c>
      <c r="D195" s="3">
        <v>0.4722222222222222</v>
      </c>
      <c r="E195" s="3">
        <v>0.4618055555555556</v>
      </c>
      <c r="F195" s="3">
        <v>0.4798611111111111</v>
      </c>
      <c r="H195" s="1" t="s">
        <v>166</v>
      </c>
      <c r="J195" s="1" t="s">
        <v>32</v>
      </c>
      <c r="K195" s="1">
        <v>1.13605508336E11</v>
      </c>
      <c r="L195" s="1" t="s">
        <v>33</v>
      </c>
      <c r="M195" s="1" t="s">
        <v>34</v>
      </c>
      <c r="P195" s="5">
        <v>1172.0</v>
      </c>
      <c r="Q195" s="1">
        <v>0.0</v>
      </c>
      <c r="R195" s="1" t="s">
        <v>44</v>
      </c>
      <c r="S195" s="1" t="s">
        <v>45</v>
      </c>
      <c r="U195" s="1" t="s">
        <v>36</v>
      </c>
      <c r="V195" s="1">
        <v>0.0</v>
      </c>
      <c r="W195" s="1">
        <v>26.0</v>
      </c>
      <c r="X195" s="1">
        <v>26.0</v>
      </c>
      <c r="Y195" s="1" t="s">
        <v>37</v>
      </c>
      <c r="AA195" s="1" t="s">
        <v>38</v>
      </c>
      <c r="AB195" s="1">
        <v>0.0</v>
      </c>
      <c r="AC195" s="1">
        <v>0.0</v>
      </c>
      <c r="AD195" s="1">
        <v>0.0</v>
      </c>
      <c r="AE195" s="6">
        <v>0.4618055555555556</v>
      </c>
      <c r="AF195" s="1" t="s">
        <v>39</v>
      </c>
    </row>
    <row r="196">
      <c r="B196" s="2">
        <v>46185.0</v>
      </c>
      <c r="C196" s="3">
        <v>0.375</v>
      </c>
      <c r="D196" s="3">
        <v>0.3888888888888889</v>
      </c>
      <c r="E196" s="3">
        <v>0.375</v>
      </c>
      <c r="F196" s="3">
        <v>0.4013888888888889</v>
      </c>
      <c r="G196" s="1">
        <v>5.9864908977E10</v>
      </c>
      <c r="H196" s="1" t="s">
        <v>224</v>
      </c>
      <c r="J196" s="1" t="s">
        <v>32</v>
      </c>
      <c r="K196" s="4">
        <f>+523311491429</f>
        <v>523311491429</v>
      </c>
      <c r="L196" s="1" t="s">
        <v>162</v>
      </c>
      <c r="M196" s="1" t="s">
        <v>34</v>
      </c>
      <c r="N196" s="1" t="s">
        <v>67</v>
      </c>
      <c r="P196" s="1">
        <v>0.0</v>
      </c>
      <c r="Q196" s="1">
        <v>0.0</v>
      </c>
      <c r="R196" s="1" t="s">
        <v>45</v>
      </c>
      <c r="S196" s="1" t="s">
        <v>45</v>
      </c>
      <c r="U196" s="1" t="s">
        <v>36</v>
      </c>
      <c r="V196" s="1">
        <v>0.0</v>
      </c>
      <c r="W196" s="1">
        <v>38.0</v>
      </c>
      <c r="X196" s="1">
        <v>38.0</v>
      </c>
      <c r="Y196" s="1" t="s">
        <v>50</v>
      </c>
      <c r="AA196" s="1" t="s">
        <v>38</v>
      </c>
      <c r="AB196" s="1">
        <v>0.0</v>
      </c>
      <c r="AC196" s="1">
        <v>0.0</v>
      </c>
      <c r="AD196" s="1">
        <v>0.0</v>
      </c>
      <c r="AE196" s="6">
        <v>0.375</v>
      </c>
      <c r="AF196" s="1" t="s">
        <v>39</v>
      </c>
    </row>
    <row r="197">
      <c r="B197" s="2">
        <v>46185.0</v>
      </c>
      <c r="C197" s="3">
        <v>0.5833333333333334</v>
      </c>
      <c r="D197" s="3">
        <v>0.6041666666666666</v>
      </c>
      <c r="E197" s="3">
        <v>0.5833333333333334</v>
      </c>
      <c r="F197" s="3">
        <v>0.6493055555555556</v>
      </c>
      <c r="G197" s="1">
        <v>1.28649060141E11</v>
      </c>
      <c r="H197" s="1" t="s">
        <v>342</v>
      </c>
      <c r="J197" s="1" t="s">
        <v>32</v>
      </c>
      <c r="K197" s="4">
        <f>+5213311407134</f>
        <v>5213311407134</v>
      </c>
      <c r="L197" s="1" t="s">
        <v>343</v>
      </c>
      <c r="M197" s="1" t="s">
        <v>59</v>
      </c>
      <c r="N197" s="1" t="s">
        <v>67</v>
      </c>
      <c r="P197" s="5">
        <v>22500.0</v>
      </c>
      <c r="Q197" s="1">
        <v>0.0</v>
      </c>
      <c r="R197" s="1" t="s">
        <v>45</v>
      </c>
      <c r="S197" s="1" t="s">
        <v>45</v>
      </c>
      <c r="U197" s="1" t="s">
        <v>55</v>
      </c>
      <c r="V197" s="1">
        <v>0.0</v>
      </c>
      <c r="W197" s="1">
        <v>95.0</v>
      </c>
      <c r="X197" s="1">
        <v>95.0</v>
      </c>
      <c r="Y197" s="1" t="s">
        <v>50</v>
      </c>
      <c r="AA197" s="1" t="s">
        <v>38</v>
      </c>
      <c r="AB197" s="1">
        <v>0.0</v>
      </c>
      <c r="AC197" s="1">
        <v>0.0</v>
      </c>
      <c r="AD197" s="1">
        <v>0.0</v>
      </c>
      <c r="AE197" s="6">
        <v>0.5833333333333334</v>
      </c>
      <c r="AF197" s="1" t="s">
        <v>39</v>
      </c>
    </row>
    <row r="198">
      <c r="B198" s="2">
        <v>46185.0</v>
      </c>
      <c r="C198" s="3">
        <v>0.3541666666666667</v>
      </c>
      <c r="D198" s="3">
        <v>0.375</v>
      </c>
      <c r="E198" s="3">
        <v>0.3541666666666667</v>
      </c>
      <c r="F198" s="3">
        <v>0.3729166666666667</v>
      </c>
      <c r="G198" s="1">
        <v>2.0984986002E11</v>
      </c>
      <c r="H198" s="1" t="s">
        <v>180</v>
      </c>
      <c r="J198" s="1" t="s">
        <v>32</v>
      </c>
      <c r="K198" s="4" t="str">
        <f>+52 33 3167 0108</f>
        <v>#ERROR!</v>
      </c>
      <c r="L198" s="1" t="s">
        <v>66</v>
      </c>
      <c r="M198" s="1" t="s">
        <v>34</v>
      </c>
      <c r="N198" s="1" t="s">
        <v>68</v>
      </c>
      <c r="P198" s="5">
        <v>0.0</v>
      </c>
      <c r="Q198" s="1">
        <v>0.0</v>
      </c>
      <c r="R198" s="1" t="s">
        <v>45</v>
      </c>
      <c r="S198" s="1" t="s">
        <v>45</v>
      </c>
      <c r="U198" s="1" t="s">
        <v>36</v>
      </c>
      <c r="V198" s="1">
        <v>0.0</v>
      </c>
      <c r="W198" s="1">
        <v>27.0</v>
      </c>
      <c r="X198" s="1">
        <v>27.0</v>
      </c>
      <c r="Y198" s="1" t="s">
        <v>50</v>
      </c>
      <c r="AA198" s="1" t="s">
        <v>38</v>
      </c>
      <c r="AB198" s="1">
        <v>0.0</v>
      </c>
      <c r="AC198" s="1">
        <v>0.0</v>
      </c>
      <c r="AD198" s="1">
        <v>0.0</v>
      </c>
      <c r="AE198" s="6">
        <v>0.3541666666666667</v>
      </c>
      <c r="AF198" s="1" t="s">
        <v>39</v>
      </c>
    </row>
    <row r="199">
      <c r="B199" s="2">
        <v>46185.0</v>
      </c>
      <c r="C199" s="3">
        <v>0.625</v>
      </c>
      <c r="D199" s="3">
        <v>0.6666666666666666</v>
      </c>
      <c r="E199" s="3">
        <v>0.625</v>
      </c>
      <c r="F199" s="3">
        <v>0.6354166666666666</v>
      </c>
      <c r="G199" s="1">
        <v>2.27211845196E11</v>
      </c>
      <c r="H199" s="1" t="s">
        <v>294</v>
      </c>
      <c r="J199" s="1" t="s">
        <v>32</v>
      </c>
      <c r="K199" s="4">
        <f>+5213329501435</f>
        <v>5213329501435</v>
      </c>
      <c r="L199" s="1" t="s">
        <v>83</v>
      </c>
      <c r="M199" s="1" t="s">
        <v>48</v>
      </c>
      <c r="N199" s="1" t="s">
        <v>344</v>
      </c>
      <c r="P199" s="5">
        <v>0.0</v>
      </c>
      <c r="R199" s="1" t="s">
        <v>35</v>
      </c>
      <c r="S199" s="1" t="s">
        <v>35</v>
      </c>
      <c r="U199" s="1" t="s">
        <v>36</v>
      </c>
      <c r="V199" s="1">
        <v>0.0</v>
      </c>
      <c r="W199" s="1">
        <v>15.0</v>
      </c>
      <c r="X199" s="1">
        <v>15.0</v>
      </c>
      <c r="Y199" s="1" t="s">
        <v>50</v>
      </c>
      <c r="AA199" s="1" t="s">
        <v>38</v>
      </c>
      <c r="AB199" s="1">
        <v>0.0</v>
      </c>
      <c r="AC199" s="1">
        <v>0.0</v>
      </c>
      <c r="AD199" s="1">
        <v>0.0</v>
      </c>
      <c r="AE199" s="6">
        <v>0.625</v>
      </c>
      <c r="AF199" s="1" t="s">
        <v>39</v>
      </c>
    </row>
    <row r="200">
      <c r="B200" s="2">
        <v>46185.0</v>
      </c>
      <c r="C200" s="3">
        <v>0.5416666666666666</v>
      </c>
      <c r="D200" s="3">
        <v>0.5520833333333334</v>
      </c>
      <c r="E200" s="3">
        <v>0.5416666666666666</v>
      </c>
      <c r="F200" s="3">
        <v>0.6340277777777777</v>
      </c>
      <c r="H200" s="1" t="s">
        <v>345</v>
      </c>
      <c r="J200" s="1" t="s">
        <v>32</v>
      </c>
      <c r="K200" s="1">
        <v>3.322308357E9</v>
      </c>
      <c r="L200" s="1" t="s">
        <v>33</v>
      </c>
      <c r="M200" s="1" t="s">
        <v>34</v>
      </c>
      <c r="P200" s="5">
        <v>0.0</v>
      </c>
      <c r="R200" s="1" t="s">
        <v>35</v>
      </c>
      <c r="S200" s="1" t="s">
        <v>35</v>
      </c>
      <c r="U200" s="1" t="s">
        <v>55</v>
      </c>
      <c r="V200" s="1">
        <v>0.0</v>
      </c>
      <c r="W200" s="1">
        <v>133.0</v>
      </c>
      <c r="X200" s="1">
        <v>133.0</v>
      </c>
      <c r="Y200" s="1" t="s">
        <v>37</v>
      </c>
      <c r="AA200" s="1" t="s">
        <v>38</v>
      </c>
      <c r="AB200" s="1">
        <v>0.0</v>
      </c>
      <c r="AC200" s="1">
        <v>0.0</v>
      </c>
      <c r="AD200" s="1">
        <v>0.0</v>
      </c>
      <c r="AE200" s="6">
        <v>0.5416666666666666</v>
      </c>
      <c r="AF200" s="1" t="s">
        <v>39</v>
      </c>
    </row>
    <row r="201">
      <c r="B201" s="2">
        <v>46185.0</v>
      </c>
      <c r="C201" s="3">
        <v>0.5833333333333334</v>
      </c>
      <c r="D201" s="3">
        <v>0.59375</v>
      </c>
      <c r="E201" s="3">
        <v>0.5833333333333334</v>
      </c>
      <c r="F201" s="3">
        <v>0.6347222222222222</v>
      </c>
      <c r="G201" s="7"/>
      <c r="H201" s="1" t="s">
        <v>346</v>
      </c>
      <c r="J201" s="1" t="s">
        <v>32</v>
      </c>
      <c r="K201" s="4">
        <f>+523313662428</f>
        <v>523313662428</v>
      </c>
      <c r="L201" s="1" t="s">
        <v>33</v>
      </c>
      <c r="M201" s="1" t="s">
        <v>34</v>
      </c>
      <c r="P201" s="1">
        <v>0.0</v>
      </c>
      <c r="R201" s="1" t="s">
        <v>62</v>
      </c>
      <c r="S201" s="1" t="s">
        <v>62</v>
      </c>
      <c r="U201" s="1" t="s">
        <v>55</v>
      </c>
      <c r="V201" s="1">
        <v>0.0</v>
      </c>
      <c r="W201" s="1">
        <v>74.0</v>
      </c>
      <c r="X201" s="1">
        <v>74.0</v>
      </c>
      <c r="Y201" s="1" t="s">
        <v>37</v>
      </c>
      <c r="AA201" s="1" t="s">
        <v>38</v>
      </c>
      <c r="AB201" s="1">
        <v>0.0</v>
      </c>
      <c r="AC201" s="1">
        <v>0.0</v>
      </c>
      <c r="AD201" s="1">
        <v>0.0</v>
      </c>
      <c r="AE201" s="6">
        <v>0.5833333333333334</v>
      </c>
      <c r="AF201" s="1" t="s">
        <v>39</v>
      </c>
    </row>
    <row r="202">
      <c r="B202" s="2">
        <v>46185.0</v>
      </c>
      <c r="C202" s="3">
        <v>0.7083333333333334</v>
      </c>
      <c r="D202" s="3">
        <v>0.75</v>
      </c>
      <c r="E202" s="3">
        <v>0.7083333333333334</v>
      </c>
      <c r="F202" s="3">
        <v>0.7097222222222223</v>
      </c>
      <c r="G202" s="1">
        <v>2.24102522976E11</v>
      </c>
      <c r="H202" s="1" t="s">
        <v>347</v>
      </c>
      <c r="J202" s="1" t="s">
        <v>32</v>
      </c>
      <c r="K202" s="4">
        <f>+523221378664</f>
        <v>523221378664</v>
      </c>
      <c r="L202" s="1" t="s">
        <v>105</v>
      </c>
      <c r="M202" s="1" t="s">
        <v>48</v>
      </c>
      <c r="N202" s="1" t="s">
        <v>348</v>
      </c>
      <c r="P202" s="1">
        <v>0.0</v>
      </c>
      <c r="R202" s="1" t="s">
        <v>349</v>
      </c>
      <c r="S202" s="1" t="s">
        <v>349</v>
      </c>
      <c r="U202" s="1" t="s">
        <v>36</v>
      </c>
      <c r="V202" s="1">
        <v>0.0</v>
      </c>
      <c r="W202" s="1">
        <v>2.0</v>
      </c>
      <c r="X202" s="1">
        <v>2.0</v>
      </c>
      <c r="Y202" s="1" t="s">
        <v>50</v>
      </c>
      <c r="AB202" s="1">
        <v>0.0</v>
      </c>
      <c r="AC202" s="1">
        <v>0.0</v>
      </c>
      <c r="AD202" s="1">
        <v>0.0</v>
      </c>
      <c r="AE202" s="6">
        <v>0.7083333333333334</v>
      </c>
      <c r="AF202" s="1" t="s">
        <v>39</v>
      </c>
    </row>
    <row r="203">
      <c r="B203" s="2">
        <v>46185.0</v>
      </c>
      <c r="C203" s="3">
        <v>0.4166666666666667</v>
      </c>
      <c r="D203" s="3">
        <v>0.4479166666666667</v>
      </c>
      <c r="E203" s="3">
        <v>0.4166666666666667</v>
      </c>
      <c r="F203" s="3">
        <v>0.4548611111111111</v>
      </c>
      <c r="G203" s="1">
        <v>2.22567552006E11</v>
      </c>
      <c r="H203" s="1" t="s">
        <v>305</v>
      </c>
      <c r="J203" s="1" t="s">
        <v>32</v>
      </c>
      <c r="K203" s="4">
        <f>+522291690156</f>
        <v>522291690156</v>
      </c>
      <c r="L203" s="1" t="s">
        <v>75</v>
      </c>
      <c r="M203" s="1" t="s">
        <v>42</v>
      </c>
      <c r="N203" s="1" t="s">
        <v>350</v>
      </c>
      <c r="P203" s="1">
        <v>0.0</v>
      </c>
      <c r="Q203" s="1">
        <v>0.0</v>
      </c>
      <c r="R203" s="1" t="s">
        <v>53</v>
      </c>
      <c r="S203" s="1" t="s">
        <v>45</v>
      </c>
      <c r="U203" s="1" t="s">
        <v>36</v>
      </c>
      <c r="V203" s="1">
        <v>0.0</v>
      </c>
      <c r="W203" s="1">
        <v>55.0</v>
      </c>
      <c r="X203" s="1">
        <v>55.0</v>
      </c>
      <c r="Y203" s="1" t="s">
        <v>81</v>
      </c>
      <c r="AA203" s="1" t="s">
        <v>38</v>
      </c>
      <c r="AB203" s="1">
        <v>0.0</v>
      </c>
      <c r="AC203" s="1">
        <v>0.0</v>
      </c>
      <c r="AD203" s="1">
        <v>0.0</v>
      </c>
      <c r="AE203" s="6">
        <v>0.4166666666666667</v>
      </c>
      <c r="AF203" s="1" t="s">
        <v>39</v>
      </c>
    </row>
    <row r="204">
      <c r="B204" s="2">
        <v>46184.0</v>
      </c>
      <c r="C204" s="3">
        <v>0.4583333333333333</v>
      </c>
      <c r="D204" s="3">
        <v>0.4791666666666667</v>
      </c>
      <c r="E204" s="3">
        <v>0.4583333333333333</v>
      </c>
      <c r="F204" s="3">
        <v>0.4888888888888889</v>
      </c>
      <c r="G204" s="1">
        <v>2.08589766444E11</v>
      </c>
      <c r="H204" s="1" t="s">
        <v>313</v>
      </c>
      <c r="J204" s="1" t="s">
        <v>32</v>
      </c>
      <c r="K204" s="4">
        <f>+523313219330</f>
        <v>523313219330</v>
      </c>
      <c r="L204" s="1" t="s">
        <v>66</v>
      </c>
      <c r="M204" s="1" t="s">
        <v>34</v>
      </c>
      <c r="N204" s="1" t="s">
        <v>67</v>
      </c>
      <c r="P204" s="1">
        <v>0.0</v>
      </c>
      <c r="Q204" s="1">
        <v>0.0</v>
      </c>
      <c r="R204" s="1" t="s">
        <v>45</v>
      </c>
      <c r="S204" s="1" t="s">
        <v>45</v>
      </c>
      <c r="T204" s="1" t="s">
        <v>314</v>
      </c>
      <c r="U204" s="1" t="s">
        <v>55</v>
      </c>
      <c r="V204" s="1">
        <v>0.0</v>
      </c>
      <c r="W204" s="1">
        <v>44.0</v>
      </c>
      <c r="X204" s="1">
        <v>44.0</v>
      </c>
      <c r="Y204" s="1" t="s">
        <v>50</v>
      </c>
      <c r="AA204" s="1" t="s">
        <v>38</v>
      </c>
      <c r="AB204" s="1">
        <v>0.0</v>
      </c>
      <c r="AC204" s="1">
        <v>0.0</v>
      </c>
      <c r="AD204" s="1">
        <v>0.0</v>
      </c>
      <c r="AE204" s="6">
        <v>0.4583333333333333</v>
      </c>
      <c r="AF204" s="1" t="s">
        <v>39</v>
      </c>
    </row>
    <row r="205">
      <c r="B205" s="2">
        <v>46184.0</v>
      </c>
      <c r="C205" s="3">
        <v>0.3125</v>
      </c>
      <c r="D205" s="3">
        <v>0.3541666666666667</v>
      </c>
      <c r="E205" s="3">
        <v>0.3125</v>
      </c>
      <c r="F205" s="3">
        <v>0.3798611111111111</v>
      </c>
      <c r="H205" s="1" t="s">
        <v>351</v>
      </c>
      <c r="J205" s="1" t="s">
        <v>32</v>
      </c>
      <c r="K205" s="1">
        <v>77.0</v>
      </c>
      <c r="L205" s="1" t="s">
        <v>176</v>
      </c>
      <c r="M205" s="1" t="s">
        <v>87</v>
      </c>
      <c r="N205" s="1" t="s">
        <v>352</v>
      </c>
      <c r="P205" s="5">
        <v>0.0</v>
      </c>
      <c r="R205" s="1" t="s">
        <v>44</v>
      </c>
      <c r="S205" s="1" t="s">
        <v>178</v>
      </c>
      <c r="U205" s="1" t="s">
        <v>55</v>
      </c>
      <c r="V205" s="1">
        <v>29.0</v>
      </c>
      <c r="W205" s="1">
        <v>68.0</v>
      </c>
      <c r="X205" s="1">
        <v>97.0</v>
      </c>
      <c r="Y205" s="1" t="s">
        <v>78</v>
      </c>
      <c r="AA205" s="1" t="s">
        <v>38</v>
      </c>
      <c r="AB205" s="1">
        <v>0.0</v>
      </c>
      <c r="AC205" s="1">
        <v>0.0</v>
      </c>
      <c r="AD205" s="1">
        <v>0.0</v>
      </c>
      <c r="AE205" s="6">
        <v>0.3326388888888889</v>
      </c>
      <c r="AF205" s="1" t="s">
        <v>39</v>
      </c>
    </row>
    <row r="206">
      <c r="B206" s="2">
        <v>46184.0</v>
      </c>
      <c r="C206" s="3">
        <v>0.375</v>
      </c>
      <c r="D206" s="3">
        <v>0.40625</v>
      </c>
      <c r="E206" s="3">
        <v>0.375</v>
      </c>
      <c r="F206" s="3">
        <v>0.4465277777777778</v>
      </c>
      <c r="G206" s="7">
        <v>1.03439114528E11</v>
      </c>
      <c r="H206" s="1" t="s">
        <v>353</v>
      </c>
      <c r="J206" s="1" t="s">
        <v>32</v>
      </c>
      <c r="K206" s="4">
        <f>+523310218414</f>
        <v>523310218414</v>
      </c>
      <c r="L206" s="1" t="s">
        <v>75</v>
      </c>
      <c r="M206" s="1" t="s">
        <v>42</v>
      </c>
      <c r="N206" s="1" t="s">
        <v>145</v>
      </c>
      <c r="P206" s="5">
        <v>0.0</v>
      </c>
      <c r="Q206" s="1">
        <v>0.0</v>
      </c>
      <c r="R206" s="1" t="s">
        <v>53</v>
      </c>
      <c r="S206" s="1" t="s">
        <v>53</v>
      </c>
      <c r="U206" s="1" t="s">
        <v>36</v>
      </c>
      <c r="V206" s="1">
        <v>21.0</v>
      </c>
      <c r="W206" s="1">
        <v>82.0</v>
      </c>
      <c r="X206" s="1">
        <v>103.0</v>
      </c>
      <c r="Y206" s="1" t="s">
        <v>50</v>
      </c>
      <c r="AA206" s="1" t="s">
        <v>38</v>
      </c>
      <c r="AB206" s="1">
        <v>0.0</v>
      </c>
      <c r="AC206" s="1">
        <v>0.0</v>
      </c>
      <c r="AD206" s="1">
        <v>0.0</v>
      </c>
      <c r="AE206" s="6">
        <v>0.38958333333333334</v>
      </c>
      <c r="AF206" s="1" t="s">
        <v>39</v>
      </c>
    </row>
    <row r="207">
      <c r="B207" s="2">
        <v>46184.0</v>
      </c>
      <c r="C207" s="3">
        <v>0.6666666666666666</v>
      </c>
      <c r="D207" s="3">
        <v>0.7083333333333334</v>
      </c>
      <c r="E207" s="3">
        <v>0.6666666666666666</v>
      </c>
      <c r="F207" s="3">
        <v>0.6763888888888889</v>
      </c>
      <c r="G207" s="1">
        <v>2.1735285739E11</v>
      </c>
      <c r="H207" s="1" t="s">
        <v>278</v>
      </c>
      <c r="J207" s="1" t="s">
        <v>32</v>
      </c>
      <c r="K207" s="4" t="str">
        <f>+52 33 3243 8177</f>
        <v>#ERROR!</v>
      </c>
      <c r="L207" s="1" t="s">
        <v>105</v>
      </c>
      <c r="M207" s="1" t="s">
        <v>48</v>
      </c>
      <c r="N207" s="1" t="s">
        <v>354</v>
      </c>
      <c r="P207" s="5">
        <v>0.0</v>
      </c>
      <c r="R207" s="1" t="s">
        <v>35</v>
      </c>
      <c r="S207" s="1" t="s">
        <v>35</v>
      </c>
      <c r="U207" s="1" t="s">
        <v>55</v>
      </c>
      <c r="V207" s="1">
        <v>0.0</v>
      </c>
      <c r="W207" s="1">
        <v>14.0</v>
      </c>
      <c r="X207" s="1">
        <v>14.0</v>
      </c>
      <c r="Y207" s="1" t="s">
        <v>46</v>
      </c>
      <c r="AA207" s="1" t="s">
        <v>38</v>
      </c>
      <c r="AB207" s="1">
        <v>0.0</v>
      </c>
      <c r="AC207" s="1">
        <v>0.0</v>
      </c>
      <c r="AD207" s="1">
        <v>0.0</v>
      </c>
      <c r="AE207" s="6">
        <v>0.6666666666666666</v>
      </c>
      <c r="AF207" s="1" t="s">
        <v>39</v>
      </c>
    </row>
    <row r="208">
      <c r="B208" s="2">
        <v>46184.0</v>
      </c>
      <c r="C208" s="3">
        <v>0.3958333333333333</v>
      </c>
      <c r="D208" s="3">
        <v>0.4236111111111111</v>
      </c>
      <c r="E208" s="3">
        <v>0.3902777777777778</v>
      </c>
      <c r="F208" s="3">
        <v>0.4888888888888889</v>
      </c>
      <c r="H208" s="1" t="s">
        <v>355</v>
      </c>
      <c r="J208" s="1" t="s">
        <v>32</v>
      </c>
      <c r="K208" s="4" t="str">
        <f>+52 33 3142 1955</f>
        <v>#ERROR!</v>
      </c>
      <c r="L208" s="1" t="s">
        <v>58</v>
      </c>
      <c r="M208" s="1" t="s">
        <v>59</v>
      </c>
      <c r="N208" s="1" t="s">
        <v>356</v>
      </c>
      <c r="P208" s="5">
        <v>0.0</v>
      </c>
      <c r="Q208" s="1">
        <v>0.0</v>
      </c>
      <c r="R208" s="1" t="s">
        <v>44</v>
      </c>
      <c r="S208" s="1" t="s">
        <v>357</v>
      </c>
      <c r="U208" s="1" t="s">
        <v>55</v>
      </c>
      <c r="V208" s="1">
        <v>26.0</v>
      </c>
      <c r="W208" s="1">
        <v>116.0</v>
      </c>
      <c r="X208" s="1">
        <v>142.0</v>
      </c>
      <c r="Y208" s="1" t="s">
        <v>78</v>
      </c>
      <c r="AA208" s="1" t="s">
        <v>38</v>
      </c>
      <c r="AB208" s="1">
        <v>0.0</v>
      </c>
      <c r="AC208" s="1">
        <v>0.0</v>
      </c>
      <c r="AD208" s="1">
        <v>0.0</v>
      </c>
      <c r="AE208" s="6">
        <v>0.4083333333333333</v>
      </c>
      <c r="AF208" s="1" t="s">
        <v>39</v>
      </c>
    </row>
    <row r="209">
      <c r="B209" s="2">
        <v>46184.0</v>
      </c>
      <c r="C209" s="3">
        <v>0.3333333333333333</v>
      </c>
      <c r="D209" s="3">
        <v>0.3645833333333333</v>
      </c>
      <c r="E209" s="3">
        <v>0.3333333333333333</v>
      </c>
      <c r="F209" s="3">
        <v>0.3798611111111111</v>
      </c>
      <c r="H209" s="1" t="s">
        <v>358</v>
      </c>
      <c r="J209" s="1" t="s">
        <v>32</v>
      </c>
      <c r="K209" s="4" t="str">
        <f>+52 33 3142 1955</f>
        <v>#ERROR!</v>
      </c>
      <c r="L209" s="1" t="s">
        <v>52</v>
      </c>
      <c r="M209" s="1" t="s">
        <v>42</v>
      </c>
      <c r="N209" s="1" t="s">
        <v>359</v>
      </c>
      <c r="P209" s="1">
        <v>0.0</v>
      </c>
      <c r="Q209" s="1">
        <v>0.0</v>
      </c>
      <c r="R209" s="1" t="s">
        <v>53</v>
      </c>
      <c r="S209" s="1" t="s">
        <v>357</v>
      </c>
      <c r="U209" s="1" t="s">
        <v>55</v>
      </c>
      <c r="V209" s="1">
        <v>0.0</v>
      </c>
      <c r="W209" s="1">
        <v>67.0</v>
      </c>
      <c r="X209" s="1">
        <v>67.0</v>
      </c>
      <c r="Y209" s="1" t="s">
        <v>78</v>
      </c>
      <c r="AA209" s="1" t="s">
        <v>38</v>
      </c>
      <c r="AB209" s="1">
        <v>0.0</v>
      </c>
      <c r="AC209" s="1">
        <v>0.0</v>
      </c>
      <c r="AD209" s="1">
        <v>0.0</v>
      </c>
      <c r="AE209" s="6">
        <v>0.3333333333333333</v>
      </c>
      <c r="AF209" s="1" t="s">
        <v>39</v>
      </c>
    </row>
    <row r="210">
      <c r="B210" s="2">
        <v>46184.0</v>
      </c>
      <c r="C210" s="3">
        <v>0.3541666666666667</v>
      </c>
      <c r="D210" s="3">
        <v>0.375</v>
      </c>
      <c r="E210" s="3">
        <v>0.3541666666666667</v>
      </c>
      <c r="F210" s="3">
        <v>0.3902777777777778</v>
      </c>
      <c r="H210" s="1" t="s">
        <v>360</v>
      </c>
      <c r="J210" s="1" t="s">
        <v>32</v>
      </c>
      <c r="K210" s="4" t="str">
        <f>+1  512  709-9249</f>
        <v>#ERROR!</v>
      </c>
      <c r="L210" s="1" t="s">
        <v>90</v>
      </c>
      <c r="M210" s="1" t="s">
        <v>87</v>
      </c>
      <c r="N210" s="1" t="s">
        <v>361</v>
      </c>
      <c r="P210" s="1">
        <v>0.0</v>
      </c>
      <c r="R210" s="1" t="s">
        <v>53</v>
      </c>
      <c r="S210" s="1" t="s">
        <v>134</v>
      </c>
      <c r="U210" s="1" t="s">
        <v>55</v>
      </c>
      <c r="V210" s="1">
        <v>-31.0</v>
      </c>
      <c r="W210" s="1">
        <v>83.0</v>
      </c>
      <c r="X210" s="1">
        <v>52.0</v>
      </c>
      <c r="Y210" s="1" t="s">
        <v>78</v>
      </c>
      <c r="AA210" s="1" t="s">
        <v>38</v>
      </c>
      <c r="AB210" s="1">
        <v>0.0</v>
      </c>
      <c r="AC210" s="1">
        <v>0.0</v>
      </c>
      <c r="AD210" s="1">
        <v>0.0</v>
      </c>
      <c r="AE210" s="6">
        <v>0.3326388888888889</v>
      </c>
      <c r="AF210" s="1" t="s">
        <v>39</v>
      </c>
    </row>
    <row r="211">
      <c r="B211" s="2">
        <v>46184.0</v>
      </c>
      <c r="C211" s="3">
        <v>0.4583333333333333</v>
      </c>
      <c r="D211" s="3">
        <v>0.4791666666666667</v>
      </c>
      <c r="E211" s="3">
        <v>0.4583333333333333</v>
      </c>
      <c r="F211" s="3">
        <v>0.49027777777777776</v>
      </c>
      <c r="H211" s="1" t="s">
        <v>362</v>
      </c>
      <c r="J211" s="1" t="s">
        <v>32</v>
      </c>
      <c r="K211" s="4" t="str">
        <f>+52 33 3100 0147</f>
        <v>#ERROR!</v>
      </c>
      <c r="L211" s="1" t="s">
        <v>86</v>
      </c>
      <c r="M211" s="1" t="s">
        <v>87</v>
      </c>
      <c r="N211" s="1" t="s">
        <v>363</v>
      </c>
      <c r="P211" s="5">
        <v>0.0</v>
      </c>
      <c r="Q211" s="1">
        <v>0.0</v>
      </c>
      <c r="R211" s="1" t="s">
        <v>53</v>
      </c>
      <c r="S211" s="1" t="s">
        <v>188</v>
      </c>
      <c r="U211" s="1" t="s">
        <v>55</v>
      </c>
      <c r="V211" s="1">
        <v>0.0</v>
      </c>
      <c r="W211" s="1">
        <v>46.0</v>
      </c>
      <c r="X211" s="1">
        <v>46.0</v>
      </c>
      <c r="Y211" s="1" t="s">
        <v>78</v>
      </c>
      <c r="AA211" s="1" t="s">
        <v>38</v>
      </c>
      <c r="AB211" s="1">
        <v>0.0</v>
      </c>
      <c r="AC211" s="1">
        <v>0.0</v>
      </c>
      <c r="AD211" s="1">
        <v>0.0</v>
      </c>
      <c r="AE211" s="6">
        <v>0.4583333333333333</v>
      </c>
      <c r="AF211" s="1" t="s">
        <v>39</v>
      </c>
    </row>
    <row r="212">
      <c r="B212" s="2">
        <v>46184.0</v>
      </c>
      <c r="C212" s="3">
        <v>0.4583333333333333</v>
      </c>
      <c r="D212" s="3">
        <v>0.4895833333333333</v>
      </c>
      <c r="E212" s="3">
        <v>0.4583333333333333</v>
      </c>
      <c r="F212" s="3">
        <v>0.48819444444444443</v>
      </c>
      <c r="G212" s="7">
        <v>2.15663555676E11</v>
      </c>
      <c r="H212" s="1" t="s">
        <v>222</v>
      </c>
      <c r="J212" s="1" t="s">
        <v>32</v>
      </c>
      <c r="K212" s="4" t="str">
        <f>+52 33 1118 6848</f>
        <v>#ERROR!</v>
      </c>
      <c r="L212" s="1" t="s">
        <v>223</v>
      </c>
      <c r="M212" s="1" t="s">
        <v>42</v>
      </c>
      <c r="P212" s="1">
        <v>0.0</v>
      </c>
      <c r="R212" s="1" t="s">
        <v>53</v>
      </c>
      <c r="S212" s="1" t="s">
        <v>35</v>
      </c>
      <c r="U212" s="1" t="s">
        <v>36</v>
      </c>
      <c r="V212" s="1">
        <v>0.0</v>
      </c>
      <c r="W212" s="1">
        <v>43.0</v>
      </c>
      <c r="X212" s="1">
        <v>43.0</v>
      </c>
      <c r="Y212" s="1" t="s">
        <v>56</v>
      </c>
      <c r="AA212" s="1" t="s">
        <v>38</v>
      </c>
      <c r="AB212" s="1">
        <v>0.0</v>
      </c>
      <c r="AC212" s="1">
        <v>0.0</v>
      </c>
      <c r="AD212" s="1">
        <v>0.0</v>
      </c>
      <c r="AE212" s="6">
        <v>0.4583333333333333</v>
      </c>
      <c r="AF212" s="1" t="s">
        <v>39</v>
      </c>
    </row>
    <row r="213">
      <c r="B213" s="2">
        <v>46183.0</v>
      </c>
      <c r="C213" s="3">
        <v>0.4166666666666667</v>
      </c>
      <c r="D213" s="3">
        <v>0.4479166666666667</v>
      </c>
      <c r="E213" s="3">
        <v>0.4166666666666667</v>
      </c>
      <c r="F213" s="3">
        <v>0.4340277777777778</v>
      </c>
      <c r="H213" s="1" t="s">
        <v>364</v>
      </c>
      <c r="J213" s="1" t="s">
        <v>32</v>
      </c>
      <c r="K213" s="1">
        <v>5.23337221977E11</v>
      </c>
      <c r="L213" s="1" t="s">
        <v>247</v>
      </c>
      <c r="M213" s="1" t="s">
        <v>42</v>
      </c>
      <c r="P213" s="1">
        <v>0.0</v>
      </c>
      <c r="Q213" s="1">
        <v>0.0</v>
      </c>
      <c r="R213" s="1" t="s">
        <v>53</v>
      </c>
      <c r="S213" s="1" t="s">
        <v>45</v>
      </c>
      <c r="U213" s="1" t="s">
        <v>55</v>
      </c>
      <c r="V213" s="1">
        <v>0.0</v>
      </c>
      <c r="W213" s="1">
        <v>25.0</v>
      </c>
      <c r="X213" s="1">
        <v>25.0</v>
      </c>
      <c r="Y213" s="1" t="s">
        <v>56</v>
      </c>
      <c r="AA213" s="1" t="s">
        <v>38</v>
      </c>
      <c r="AB213" s="1">
        <v>0.0</v>
      </c>
      <c r="AC213" s="1">
        <v>0.0</v>
      </c>
      <c r="AD213" s="1">
        <v>0.0</v>
      </c>
      <c r="AE213" s="6">
        <v>0.4166666666666667</v>
      </c>
      <c r="AF213" s="1" t="s">
        <v>39</v>
      </c>
    </row>
    <row r="214">
      <c r="B214" s="2">
        <v>46183.0</v>
      </c>
      <c r="C214" s="3">
        <v>0.5625</v>
      </c>
      <c r="D214" s="3">
        <v>0.5694444444444444</v>
      </c>
      <c r="E214" s="3">
        <v>0.5625</v>
      </c>
      <c r="F214" s="3">
        <v>0.6347222222222222</v>
      </c>
      <c r="G214" s="1">
        <v>2.08589766444E11</v>
      </c>
      <c r="H214" s="1" t="s">
        <v>313</v>
      </c>
      <c r="J214" s="1" t="s">
        <v>32</v>
      </c>
      <c r="K214" s="4">
        <f>+523313219330</f>
        <v>523313219330</v>
      </c>
      <c r="L214" s="1" t="s">
        <v>41</v>
      </c>
      <c r="M214" s="1" t="s">
        <v>42</v>
      </c>
      <c r="N214" s="1" t="s">
        <v>154</v>
      </c>
      <c r="P214" s="1">
        <v>0.0</v>
      </c>
      <c r="Q214" s="1">
        <v>0.0</v>
      </c>
      <c r="R214" s="1" t="s">
        <v>44</v>
      </c>
      <c r="S214" s="1" t="s">
        <v>45</v>
      </c>
      <c r="T214" s="1" t="s">
        <v>314</v>
      </c>
      <c r="U214" s="1" t="s">
        <v>55</v>
      </c>
      <c r="V214" s="1">
        <v>0.0</v>
      </c>
      <c r="W214" s="1">
        <v>104.0</v>
      </c>
      <c r="X214" s="1">
        <v>104.0</v>
      </c>
      <c r="Y214" s="1" t="s">
        <v>155</v>
      </c>
      <c r="AA214" s="1" t="s">
        <v>38</v>
      </c>
      <c r="AB214" s="1">
        <v>0.0</v>
      </c>
      <c r="AC214" s="1">
        <v>0.0</v>
      </c>
      <c r="AD214" s="1">
        <v>0.0</v>
      </c>
      <c r="AE214" s="6">
        <v>0.5625</v>
      </c>
      <c r="AF214" s="1" t="s">
        <v>39</v>
      </c>
    </row>
    <row r="215">
      <c r="B215" s="2">
        <v>46183.0</v>
      </c>
      <c r="C215" s="3">
        <v>0.375</v>
      </c>
      <c r="D215" s="3">
        <v>0.3854166666666667</v>
      </c>
      <c r="E215" s="3">
        <v>0.375</v>
      </c>
      <c r="F215" s="3">
        <v>0.4201388888888889</v>
      </c>
      <c r="G215" s="1">
        <v>1.00761724073E11</v>
      </c>
      <c r="H215" s="1" t="s">
        <v>365</v>
      </c>
      <c r="J215" s="1" t="s">
        <v>32</v>
      </c>
      <c r="K215" s="4">
        <f>+5213335594126</f>
        <v>5213335594126</v>
      </c>
      <c r="L215" s="1" t="s">
        <v>33</v>
      </c>
      <c r="M215" s="1" t="s">
        <v>34</v>
      </c>
      <c r="N215" s="1" t="s">
        <v>366</v>
      </c>
      <c r="P215" s="1">
        <v>0.0</v>
      </c>
      <c r="R215" s="1" t="s">
        <v>45</v>
      </c>
      <c r="S215" s="1" t="s">
        <v>45</v>
      </c>
      <c r="U215" s="1" t="s">
        <v>36</v>
      </c>
      <c r="V215" s="1">
        <v>0.0</v>
      </c>
      <c r="W215" s="1">
        <v>65.0</v>
      </c>
      <c r="X215" s="1">
        <v>65.0</v>
      </c>
      <c r="Y215" s="1" t="s">
        <v>37</v>
      </c>
      <c r="AA215" s="1" t="s">
        <v>38</v>
      </c>
      <c r="AB215" s="1">
        <v>0.0</v>
      </c>
      <c r="AC215" s="1">
        <v>0.0</v>
      </c>
      <c r="AD215" s="1">
        <v>0.0</v>
      </c>
      <c r="AE215" s="6">
        <v>0.375</v>
      </c>
      <c r="AF215" s="1" t="s">
        <v>39</v>
      </c>
    </row>
    <row r="216">
      <c r="B216" s="2">
        <v>46183.0</v>
      </c>
      <c r="C216" s="3">
        <v>0.4166666666666667</v>
      </c>
      <c r="D216" s="3">
        <v>0.4305555555555556</v>
      </c>
      <c r="E216" s="3">
        <v>0.4166666666666667</v>
      </c>
      <c r="F216" s="3">
        <v>0.44375</v>
      </c>
      <c r="G216" s="1">
        <v>2.1112313358E11</v>
      </c>
      <c r="H216" s="1" t="s">
        <v>120</v>
      </c>
      <c r="J216" s="1" t="s">
        <v>32</v>
      </c>
      <c r="K216" s="4">
        <f>+523312987115</f>
        <v>523312987115</v>
      </c>
      <c r="L216" s="1" t="s">
        <v>162</v>
      </c>
      <c r="M216" s="1" t="s">
        <v>34</v>
      </c>
      <c r="N216" s="1" t="s">
        <v>67</v>
      </c>
      <c r="P216" s="5">
        <v>0.0</v>
      </c>
      <c r="Q216" s="1">
        <v>0.0</v>
      </c>
      <c r="R216" s="1" t="s">
        <v>122</v>
      </c>
      <c r="S216" s="1" t="s">
        <v>122</v>
      </c>
      <c r="U216" s="1" t="s">
        <v>36</v>
      </c>
      <c r="V216" s="1">
        <v>0.0</v>
      </c>
      <c r="W216" s="1">
        <v>39.0</v>
      </c>
      <c r="X216" s="1">
        <v>39.0</v>
      </c>
      <c r="Y216" s="1" t="s">
        <v>50</v>
      </c>
      <c r="AA216" s="1" t="s">
        <v>38</v>
      </c>
      <c r="AB216" s="1">
        <v>0.0</v>
      </c>
      <c r="AC216" s="1">
        <v>0.0</v>
      </c>
      <c r="AD216" s="1">
        <v>0.0</v>
      </c>
      <c r="AE216" s="6">
        <v>0.4166666666666667</v>
      </c>
      <c r="AF216" s="1" t="s">
        <v>39</v>
      </c>
    </row>
    <row r="217">
      <c r="B217" s="2">
        <v>46183.0</v>
      </c>
      <c r="C217" s="3">
        <v>0.4375</v>
      </c>
      <c r="D217" s="3">
        <v>0.4583333333333333</v>
      </c>
      <c r="E217" s="3">
        <v>0.4375</v>
      </c>
      <c r="F217" s="3">
        <v>0.46041666666666664</v>
      </c>
      <c r="G217" s="1">
        <v>1.59956072708E11</v>
      </c>
      <c r="H217" s="1" t="s">
        <v>367</v>
      </c>
      <c r="J217" s="1" t="s">
        <v>32</v>
      </c>
      <c r="K217" s="4">
        <f t="shared" ref="K217:K218" si="8">+19096094054</f>
        <v>19096094054</v>
      </c>
      <c r="L217" s="1" t="s">
        <v>101</v>
      </c>
      <c r="M217" s="1" t="s">
        <v>59</v>
      </c>
      <c r="N217" s="1" t="s">
        <v>67</v>
      </c>
      <c r="P217" s="1">
        <v>0.0</v>
      </c>
      <c r="Q217" s="1">
        <v>0.0</v>
      </c>
      <c r="R217" s="1" t="s">
        <v>122</v>
      </c>
      <c r="S217" s="1" t="s">
        <v>122</v>
      </c>
      <c r="U217" s="1" t="s">
        <v>55</v>
      </c>
      <c r="V217" s="1">
        <v>12.0</v>
      </c>
      <c r="W217" s="1">
        <v>21.0</v>
      </c>
      <c r="X217" s="1">
        <v>33.0</v>
      </c>
      <c r="Y217" s="1" t="s">
        <v>50</v>
      </c>
      <c r="AA217" s="1" t="s">
        <v>64</v>
      </c>
      <c r="AB217" s="1">
        <v>0.0</v>
      </c>
      <c r="AC217" s="1">
        <v>0.0</v>
      </c>
      <c r="AD217" s="1">
        <v>0.0</v>
      </c>
      <c r="AE217" s="6">
        <v>0.44583333333333336</v>
      </c>
      <c r="AF217" s="1" t="s">
        <v>39</v>
      </c>
    </row>
    <row r="218">
      <c r="B218" s="2">
        <v>46183.0</v>
      </c>
      <c r="C218" s="3">
        <v>0.4375</v>
      </c>
      <c r="D218" s="3">
        <v>0.4444444444444444</v>
      </c>
      <c r="E218" s="3">
        <v>0.4375</v>
      </c>
      <c r="F218" s="3">
        <v>0.46041666666666664</v>
      </c>
      <c r="G218" s="1">
        <v>1.59956072708E11</v>
      </c>
      <c r="H218" s="1" t="s">
        <v>367</v>
      </c>
      <c r="J218" s="1" t="s">
        <v>32</v>
      </c>
      <c r="K218" s="4">
        <f t="shared" si="8"/>
        <v>19096094054</v>
      </c>
      <c r="L218" s="1" t="s">
        <v>41</v>
      </c>
      <c r="M218" s="1" t="s">
        <v>42</v>
      </c>
      <c r="N218" s="1" t="s">
        <v>368</v>
      </c>
      <c r="P218" s="1">
        <v>0.0</v>
      </c>
      <c r="Q218" s="1">
        <v>0.0</v>
      </c>
      <c r="R218" s="1" t="s">
        <v>44</v>
      </c>
      <c r="S218" s="1" t="s">
        <v>122</v>
      </c>
      <c r="U218" s="1" t="s">
        <v>55</v>
      </c>
      <c r="V218" s="1">
        <v>0.0</v>
      </c>
      <c r="W218" s="1">
        <v>33.0</v>
      </c>
      <c r="X218" s="1">
        <v>33.0</v>
      </c>
      <c r="Y218" s="1" t="s">
        <v>78</v>
      </c>
      <c r="AA218" s="1" t="s">
        <v>64</v>
      </c>
      <c r="AB218" s="1">
        <v>0.0</v>
      </c>
      <c r="AC218" s="1">
        <v>0.0</v>
      </c>
      <c r="AD218" s="1">
        <v>0.0</v>
      </c>
      <c r="AE218" s="6">
        <v>0.4375</v>
      </c>
      <c r="AF218" s="1" t="s">
        <v>39</v>
      </c>
    </row>
    <row r="219">
      <c r="B219" s="2">
        <v>46183.0</v>
      </c>
      <c r="C219" s="3">
        <v>0.5625</v>
      </c>
      <c r="D219" s="3">
        <v>0.5833333333333334</v>
      </c>
      <c r="E219" s="3">
        <v>0.5625</v>
      </c>
      <c r="F219" s="3">
        <v>0.6340277777777777</v>
      </c>
      <c r="G219" s="1">
        <v>2.08589766444E11</v>
      </c>
      <c r="H219" s="1" t="s">
        <v>313</v>
      </c>
      <c r="J219" s="1" t="s">
        <v>32</v>
      </c>
      <c r="K219" s="4">
        <f>+523313219330</f>
        <v>523313219330</v>
      </c>
      <c r="L219" s="1" t="s">
        <v>66</v>
      </c>
      <c r="M219" s="1" t="s">
        <v>34</v>
      </c>
      <c r="N219" s="1" t="s">
        <v>67</v>
      </c>
      <c r="P219" s="5">
        <v>0.0</v>
      </c>
      <c r="Q219" s="1">
        <v>0.0</v>
      </c>
      <c r="R219" s="1" t="s">
        <v>45</v>
      </c>
      <c r="S219" s="1" t="s">
        <v>45</v>
      </c>
      <c r="T219" s="1" t="s">
        <v>314</v>
      </c>
      <c r="U219" s="1" t="s">
        <v>55</v>
      </c>
      <c r="V219" s="1">
        <v>0.0</v>
      </c>
      <c r="W219" s="1">
        <v>103.0</v>
      </c>
      <c r="X219" s="1">
        <v>103.0</v>
      </c>
      <c r="Y219" s="1" t="s">
        <v>50</v>
      </c>
      <c r="AA219" s="1" t="s">
        <v>38</v>
      </c>
      <c r="AB219" s="1">
        <v>0.0</v>
      </c>
      <c r="AC219" s="1">
        <v>0.0</v>
      </c>
      <c r="AD219" s="1">
        <v>0.0</v>
      </c>
      <c r="AE219" s="6">
        <v>0.5625</v>
      </c>
      <c r="AF219" s="1" t="s">
        <v>39</v>
      </c>
    </row>
    <row r="220">
      <c r="B220" s="2">
        <v>46183.0</v>
      </c>
      <c r="C220" s="3">
        <v>0.375</v>
      </c>
      <c r="D220" s="3">
        <v>0.4166666666666667</v>
      </c>
      <c r="E220" s="3">
        <v>0.375</v>
      </c>
      <c r="F220" s="3">
        <v>0.4131944444444444</v>
      </c>
      <c r="G220" s="1">
        <v>2.27367491968E11</v>
      </c>
      <c r="H220" s="1" t="s">
        <v>369</v>
      </c>
      <c r="J220" s="1" t="s">
        <v>32</v>
      </c>
      <c r="K220" s="4">
        <f>+17736797850</f>
        <v>17736797850</v>
      </c>
      <c r="L220" s="1" t="s">
        <v>289</v>
      </c>
      <c r="M220" s="1" t="s">
        <v>48</v>
      </c>
      <c r="N220" s="1" t="s">
        <v>370</v>
      </c>
      <c r="P220" s="5">
        <v>0.0</v>
      </c>
      <c r="Q220" s="1">
        <v>0.0</v>
      </c>
      <c r="R220" s="1" t="s">
        <v>45</v>
      </c>
      <c r="S220" s="1" t="s">
        <v>45</v>
      </c>
      <c r="U220" s="1" t="s">
        <v>36</v>
      </c>
      <c r="V220" s="1">
        <v>18.0</v>
      </c>
      <c r="W220" s="1">
        <v>37.0</v>
      </c>
      <c r="X220" s="1">
        <v>55.0</v>
      </c>
      <c r="Y220" s="1" t="s">
        <v>50</v>
      </c>
      <c r="AA220" s="1" t="s">
        <v>64</v>
      </c>
      <c r="AB220" s="1">
        <v>0.0</v>
      </c>
      <c r="AC220" s="1">
        <v>0.0</v>
      </c>
      <c r="AD220" s="1">
        <v>0.0</v>
      </c>
      <c r="AE220" s="6">
        <v>0.3875</v>
      </c>
      <c r="AF220" s="1" t="s">
        <v>39</v>
      </c>
    </row>
    <row r="221">
      <c r="B221" s="2">
        <v>46183.0</v>
      </c>
      <c r="C221" s="3">
        <v>0.6875</v>
      </c>
      <c r="D221" s="3">
        <v>0.6944444444444444</v>
      </c>
      <c r="E221" s="3">
        <v>0.6875</v>
      </c>
      <c r="F221" s="3">
        <v>0.6930555555555555</v>
      </c>
      <c r="G221" s="1">
        <v>2.0984986002E11</v>
      </c>
      <c r="H221" s="1" t="s">
        <v>180</v>
      </c>
      <c r="J221" s="1" t="s">
        <v>32</v>
      </c>
      <c r="K221" s="4" t="str">
        <f>+52 33 3167 0108</f>
        <v>#ERROR!</v>
      </c>
      <c r="L221" s="1" t="s">
        <v>41</v>
      </c>
      <c r="M221" s="1" t="s">
        <v>42</v>
      </c>
      <c r="N221" s="1" t="s">
        <v>371</v>
      </c>
      <c r="P221" s="1">
        <v>0.0</v>
      </c>
      <c r="Q221" s="1">
        <v>0.0</v>
      </c>
      <c r="R221" s="1" t="s">
        <v>44</v>
      </c>
      <c r="S221" s="1" t="s">
        <v>45</v>
      </c>
      <c r="U221" s="1" t="s">
        <v>36</v>
      </c>
      <c r="V221" s="1">
        <v>0.0</v>
      </c>
      <c r="W221" s="1">
        <v>8.0</v>
      </c>
      <c r="X221" s="1">
        <v>8.0</v>
      </c>
      <c r="Y221" s="1" t="s">
        <v>155</v>
      </c>
      <c r="AA221" s="1" t="s">
        <v>38</v>
      </c>
      <c r="AB221" s="1">
        <v>0.0</v>
      </c>
      <c r="AC221" s="1">
        <v>0.0</v>
      </c>
      <c r="AD221" s="1">
        <v>0.0</v>
      </c>
      <c r="AE221" s="6">
        <v>0.6875</v>
      </c>
      <c r="AF221" s="1" t="s">
        <v>39</v>
      </c>
    </row>
    <row r="222">
      <c r="B222" s="2">
        <v>46183.0</v>
      </c>
      <c r="C222" s="3">
        <v>0.6875</v>
      </c>
      <c r="D222" s="3">
        <v>0.7083333333333334</v>
      </c>
      <c r="E222" s="3">
        <v>0.6875</v>
      </c>
      <c r="F222" s="3">
        <v>0.6930555555555555</v>
      </c>
      <c r="G222" s="1">
        <v>2.0984986002E11</v>
      </c>
      <c r="H222" s="1" t="s">
        <v>180</v>
      </c>
      <c r="J222" s="1" t="s">
        <v>32</v>
      </c>
      <c r="K222" s="4" t="str">
        <f>+52 33 3167 0108</f>
        <v>#ERROR!</v>
      </c>
      <c r="L222" s="1" t="s">
        <v>66</v>
      </c>
      <c r="M222" s="1" t="s">
        <v>34</v>
      </c>
      <c r="N222" s="1" t="s">
        <v>372</v>
      </c>
      <c r="P222" s="1">
        <v>0.0</v>
      </c>
      <c r="Q222" s="1">
        <v>0.0</v>
      </c>
      <c r="R222" s="1" t="s">
        <v>45</v>
      </c>
      <c r="S222" s="1" t="s">
        <v>45</v>
      </c>
      <c r="U222" s="1" t="s">
        <v>36</v>
      </c>
      <c r="V222" s="1">
        <v>0.0</v>
      </c>
      <c r="W222" s="1">
        <v>8.0</v>
      </c>
      <c r="X222" s="1">
        <v>8.0</v>
      </c>
      <c r="Y222" s="1" t="s">
        <v>50</v>
      </c>
      <c r="AA222" s="1" t="s">
        <v>38</v>
      </c>
      <c r="AB222" s="1">
        <v>0.0</v>
      </c>
      <c r="AC222" s="1">
        <v>0.0</v>
      </c>
      <c r="AD222" s="1">
        <v>0.0</v>
      </c>
      <c r="AE222" s="6">
        <v>0.6875</v>
      </c>
      <c r="AF222" s="1" t="s">
        <v>39</v>
      </c>
    </row>
    <row r="223">
      <c r="B223" s="2">
        <v>46183.0</v>
      </c>
      <c r="C223" s="3">
        <v>0.5</v>
      </c>
      <c r="D223" s="3">
        <v>0.53125</v>
      </c>
      <c r="E223" s="3">
        <v>0.5</v>
      </c>
      <c r="F223" s="3">
        <v>0.5583333333333333</v>
      </c>
      <c r="H223" s="1" t="s">
        <v>373</v>
      </c>
      <c r="J223" s="1" t="s">
        <v>32</v>
      </c>
      <c r="K223" s="1" t="s">
        <v>374</v>
      </c>
      <c r="L223" s="1" t="s">
        <v>75</v>
      </c>
      <c r="M223" s="1" t="s">
        <v>42</v>
      </c>
      <c r="N223" s="1" t="s">
        <v>375</v>
      </c>
      <c r="P223" s="1">
        <v>0.0</v>
      </c>
      <c r="R223" s="1" t="s">
        <v>53</v>
      </c>
      <c r="S223" s="1" t="s">
        <v>236</v>
      </c>
      <c r="U223" s="1" t="s">
        <v>55</v>
      </c>
      <c r="V223" s="1">
        <v>12.0</v>
      </c>
      <c r="W223" s="1">
        <v>72.0</v>
      </c>
      <c r="X223" s="1">
        <v>84.0</v>
      </c>
      <c r="Y223" s="1" t="s">
        <v>78</v>
      </c>
      <c r="AA223" s="1" t="s">
        <v>38</v>
      </c>
      <c r="AB223" s="1">
        <v>0.0</v>
      </c>
      <c r="AC223" s="1">
        <v>0.0</v>
      </c>
      <c r="AD223" s="1">
        <v>0.0</v>
      </c>
      <c r="AE223" s="6">
        <v>0.5083333333333333</v>
      </c>
      <c r="AF223" s="1" t="s">
        <v>39</v>
      </c>
    </row>
    <row r="224">
      <c r="B224" s="2">
        <v>46183.0</v>
      </c>
      <c r="C224" s="3">
        <v>0.5416666666666666</v>
      </c>
      <c r="D224" s="3">
        <v>0.5625</v>
      </c>
      <c r="E224" s="3">
        <v>0.44583333333333336</v>
      </c>
      <c r="F224" s="3">
        <v>0.6340277777777777</v>
      </c>
      <c r="H224" s="1" t="s">
        <v>376</v>
      </c>
      <c r="J224" s="1" t="s">
        <v>32</v>
      </c>
      <c r="K224" s="4" t="str">
        <f>+52 33 1386 5322</f>
        <v>#ERROR!</v>
      </c>
      <c r="L224" s="1" t="s">
        <v>86</v>
      </c>
      <c r="M224" s="1" t="s">
        <v>87</v>
      </c>
      <c r="N224" s="1" t="s">
        <v>377</v>
      </c>
      <c r="P224" s="1">
        <v>500.0</v>
      </c>
      <c r="Q224" s="1">
        <v>0.0</v>
      </c>
      <c r="R224" s="1" t="s">
        <v>53</v>
      </c>
      <c r="S224" s="1" t="s">
        <v>54</v>
      </c>
      <c r="U224" s="1" t="s">
        <v>55</v>
      </c>
      <c r="V224" s="1">
        <v>0.0</v>
      </c>
      <c r="W224" s="1">
        <v>271.0</v>
      </c>
      <c r="X224" s="1">
        <v>271.0</v>
      </c>
      <c r="Y224" s="1" t="s">
        <v>78</v>
      </c>
      <c r="AA224" s="1" t="s">
        <v>38</v>
      </c>
      <c r="AB224" s="1">
        <v>0.0</v>
      </c>
      <c r="AC224" s="1">
        <v>0.0</v>
      </c>
      <c r="AD224" s="1">
        <v>0.0</v>
      </c>
      <c r="AE224" s="6">
        <v>0.44583333333333336</v>
      </c>
      <c r="AF224" s="1" t="s">
        <v>39</v>
      </c>
    </row>
    <row r="225">
      <c r="B225" s="2">
        <v>46183.0</v>
      </c>
      <c r="C225" s="3">
        <v>0.75</v>
      </c>
      <c r="D225" s="3">
        <v>0.7916666666666666</v>
      </c>
      <c r="E225" s="3">
        <v>0.75</v>
      </c>
      <c r="F225" s="3">
        <v>0.8020833333333334</v>
      </c>
      <c r="G225" s="1">
        <v>2.25610807088E11</v>
      </c>
      <c r="H225" s="1" t="s">
        <v>333</v>
      </c>
      <c r="J225" s="1" t="s">
        <v>32</v>
      </c>
      <c r="K225" s="4">
        <f>+5213315992265</f>
        <v>5213315992265</v>
      </c>
      <c r="L225" s="1" t="s">
        <v>83</v>
      </c>
      <c r="M225" s="1" t="s">
        <v>48</v>
      </c>
      <c r="N225" s="1" t="s">
        <v>378</v>
      </c>
      <c r="P225" s="1">
        <v>0.0</v>
      </c>
      <c r="R225" s="1" t="s">
        <v>35</v>
      </c>
      <c r="S225" s="1" t="s">
        <v>35</v>
      </c>
      <c r="U225" s="1" t="s">
        <v>36</v>
      </c>
      <c r="V225" s="1">
        <v>0.0</v>
      </c>
      <c r="W225" s="1">
        <v>75.0</v>
      </c>
      <c r="X225" s="1">
        <v>75.0</v>
      </c>
      <c r="Y225" s="1" t="s">
        <v>50</v>
      </c>
      <c r="AA225" s="1" t="s">
        <v>38</v>
      </c>
      <c r="AB225" s="1">
        <v>0.0</v>
      </c>
      <c r="AC225" s="1">
        <v>0.0</v>
      </c>
      <c r="AD225" s="1">
        <v>0.0</v>
      </c>
      <c r="AE225" s="6">
        <v>0.75</v>
      </c>
      <c r="AF225" s="1" t="s">
        <v>39</v>
      </c>
    </row>
    <row r="226">
      <c r="B226" s="2">
        <v>46183.0</v>
      </c>
      <c r="C226" s="3">
        <v>0.5</v>
      </c>
      <c r="D226" s="3">
        <v>0.5104166666666666</v>
      </c>
      <c r="E226" s="3">
        <v>0.5</v>
      </c>
      <c r="F226" s="3">
        <v>0.5263888888888889</v>
      </c>
      <c r="G226" s="1">
        <v>2.24794984021E11</v>
      </c>
      <c r="H226" s="1" t="s">
        <v>379</v>
      </c>
      <c r="J226" s="1" t="s">
        <v>32</v>
      </c>
      <c r="K226" s="4">
        <f>+5213311000927</f>
        <v>5213311000927</v>
      </c>
      <c r="L226" s="1" t="s">
        <v>33</v>
      </c>
      <c r="M226" s="1" t="s">
        <v>34</v>
      </c>
      <c r="P226" s="1">
        <v>0.0</v>
      </c>
      <c r="R226" s="1" t="s">
        <v>62</v>
      </c>
      <c r="S226" s="1" t="s">
        <v>62</v>
      </c>
      <c r="U226" s="1" t="s">
        <v>55</v>
      </c>
      <c r="V226" s="1">
        <v>0.0</v>
      </c>
      <c r="W226" s="1">
        <v>38.0</v>
      </c>
      <c r="X226" s="1">
        <v>38.0</v>
      </c>
      <c r="Y226" s="1" t="s">
        <v>37</v>
      </c>
      <c r="AA226" s="1" t="s">
        <v>38</v>
      </c>
      <c r="AB226" s="1">
        <v>0.0</v>
      </c>
      <c r="AC226" s="1">
        <v>0.0</v>
      </c>
      <c r="AD226" s="1">
        <v>0.0</v>
      </c>
      <c r="AE226" s="6">
        <v>0.5</v>
      </c>
      <c r="AF226" s="1" t="s">
        <v>39</v>
      </c>
    </row>
    <row r="227">
      <c r="B227" s="2">
        <v>46183.0</v>
      </c>
      <c r="C227" s="3">
        <v>0.6666666666666666</v>
      </c>
      <c r="D227" s="3">
        <v>0.6875</v>
      </c>
      <c r="E227" s="3">
        <v>0.6666666666666666</v>
      </c>
      <c r="F227" s="3">
        <v>0.6805555555555556</v>
      </c>
      <c r="G227" s="1">
        <v>1.52406013606E11</v>
      </c>
      <c r="H227" s="1" t="s">
        <v>179</v>
      </c>
      <c r="J227" s="1" t="s">
        <v>32</v>
      </c>
      <c r="K227" s="4">
        <f>+5213332182592</f>
        <v>5213332182592</v>
      </c>
      <c r="L227" s="1" t="s">
        <v>121</v>
      </c>
      <c r="M227" s="1" t="s">
        <v>59</v>
      </c>
      <c r="N227" s="1" t="s">
        <v>67</v>
      </c>
      <c r="P227" s="5">
        <v>0.0</v>
      </c>
      <c r="Q227" s="1">
        <v>0.0</v>
      </c>
      <c r="R227" s="1" t="s">
        <v>122</v>
      </c>
      <c r="S227" s="1" t="s">
        <v>122</v>
      </c>
      <c r="U227" s="1" t="s">
        <v>55</v>
      </c>
      <c r="V227" s="1">
        <v>0.0</v>
      </c>
      <c r="W227" s="1">
        <v>20.0</v>
      </c>
      <c r="X227" s="1">
        <v>20.0</v>
      </c>
      <c r="Y227" s="1" t="s">
        <v>50</v>
      </c>
      <c r="AA227" s="1" t="s">
        <v>38</v>
      </c>
      <c r="AB227" s="1">
        <v>0.0</v>
      </c>
      <c r="AC227" s="1">
        <v>0.0</v>
      </c>
      <c r="AD227" s="1">
        <v>0.0</v>
      </c>
      <c r="AE227" s="6">
        <v>0.6666666666666666</v>
      </c>
      <c r="AF227" s="1" t="s">
        <v>39</v>
      </c>
    </row>
    <row r="228">
      <c r="B228" s="2">
        <v>46183.0</v>
      </c>
      <c r="C228" s="3">
        <v>0.7083333333333334</v>
      </c>
      <c r="D228" s="3">
        <v>0.75</v>
      </c>
      <c r="E228" s="3">
        <v>0.7083333333333334</v>
      </c>
      <c r="F228" s="3">
        <v>0.74375</v>
      </c>
      <c r="G228" s="1">
        <v>2.26422563688E11</v>
      </c>
      <c r="H228" s="1" t="s">
        <v>335</v>
      </c>
      <c r="J228" s="1" t="s">
        <v>32</v>
      </c>
      <c r="K228" s="4">
        <f>+523310176006</f>
        <v>523310176006</v>
      </c>
      <c r="L228" s="1" t="s">
        <v>380</v>
      </c>
      <c r="M228" s="1" t="s">
        <v>48</v>
      </c>
      <c r="N228" s="1" t="s">
        <v>381</v>
      </c>
      <c r="P228" s="1">
        <v>0.0</v>
      </c>
      <c r="R228" s="1" t="s">
        <v>35</v>
      </c>
      <c r="S228" s="1" t="s">
        <v>35</v>
      </c>
      <c r="U228" s="1" t="s">
        <v>36</v>
      </c>
      <c r="V228" s="1">
        <v>0.0</v>
      </c>
      <c r="W228" s="1">
        <v>51.0</v>
      </c>
      <c r="X228" s="1">
        <v>51.0</v>
      </c>
      <c r="Y228" s="1" t="s">
        <v>50</v>
      </c>
      <c r="AA228" s="1" t="s">
        <v>38</v>
      </c>
      <c r="AB228" s="1">
        <v>0.0</v>
      </c>
      <c r="AC228" s="1">
        <v>0.0</v>
      </c>
      <c r="AD228" s="1">
        <v>0.0</v>
      </c>
      <c r="AE228" s="6">
        <v>0.7083333333333334</v>
      </c>
      <c r="AF228" s="1" t="s">
        <v>39</v>
      </c>
    </row>
    <row r="229">
      <c r="B229" s="2">
        <v>46183.0</v>
      </c>
      <c r="C229" s="3">
        <v>0.375</v>
      </c>
      <c r="D229" s="3">
        <v>0.3854166666666667</v>
      </c>
      <c r="E229" s="3">
        <v>0.375</v>
      </c>
      <c r="F229" s="3">
        <v>0.4444444444444444</v>
      </c>
      <c r="G229" s="1">
        <v>2.25902303235E11</v>
      </c>
      <c r="H229" s="1" t="s">
        <v>303</v>
      </c>
      <c r="J229" s="1" t="s">
        <v>32</v>
      </c>
      <c r="K229" s="4" t="str">
        <f>+52 33 1482 8986</f>
        <v>#ERROR!</v>
      </c>
      <c r="L229" s="1" t="s">
        <v>33</v>
      </c>
      <c r="M229" s="1" t="s">
        <v>34</v>
      </c>
      <c r="N229" s="1" t="s">
        <v>382</v>
      </c>
      <c r="P229" s="1">
        <v>0.0</v>
      </c>
      <c r="R229" s="1" t="s">
        <v>54</v>
      </c>
      <c r="S229" s="1" t="s">
        <v>54</v>
      </c>
      <c r="U229" s="1" t="s">
        <v>55</v>
      </c>
      <c r="V229" s="1">
        <v>0.0</v>
      </c>
      <c r="W229" s="1">
        <v>100.0</v>
      </c>
      <c r="X229" s="1">
        <v>100.0</v>
      </c>
      <c r="Y229" s="1" t="s">
        <v>37</v>
      </c>
      <c r="AA229" s="1" t="s">
        <v>38</v>
      </c>
      <c r="AB229" s="1">
        <v>0.0</v>
      </c>
      <c r="AC229" s="1">
        <v>0.0</v>
      </c>
      <c r="AD229" s="1">
        <v>0.0</v>
      </c>
      <c r="AE229" s="6">
        <v>0.375</v>
      </c>
      <c r="AF229" s="1" t="s">
        <v>39</v>
      </c>
    </row>
    <row r="230">
      <c r="B230" s="2">
        <v>46183.0</v>
      </c>
      <c r="C230" s="3">
        <v>0.375</v>
      </c>
      <c r="D230" s="3">
        <v>0.4166666666666667</v>
      </c>
      <c r="E230" s="3">
        <v>0.375</v>
      </c>
      <c r="F230" s="3">
        <v>0.44375</v>
      </c>
      <c r="G230" s="1">
        <v>2.26099744282E11</v>
      </c>
      <c r="H230" s="1" t="s">
        <v>337</v>
      </c>
      <c r="J230" s="1" t="s">
        <v>32</v>
      </c>
      <c r="K230" s="4">
        <f>+526871258529</f>
        <v>526871258529</v>
      </c>
      <c r="L230" s="1" t="s">
        <v>83</v>
      </c>
      <c r="M230" s="1" t="s">
        <v>48</v>
      </c>
      <c r="N230" s="1" t="s">
        <v>383</v>
      </c>
      <c r="P230" s="5">
        <v>0.0</v>
      </c>
      <c r="R230" s="1" t="s">
        <v>236</v>
      </c>
      <c r="S230" s="1" t="s">
        <v>236</v>
      </c>
      <c r="U230" s="1" t="s">
        <v>36</v>
      </c>
      <c r="V230" s="1">
        <v>26.0</v>
      </c>
      <c r="W230" s="1">
        <v>73.0</v>
      </c>
      <c r="X230" s="1">
        <v>99.0</v>
      </c>
      <c r="Y230" s="1" t="s">
        <v>50</v>
      </c>
      <c r="AA230" s="1" t="s">
        <v>38</v>
      </c>
      <c r="AB230" s="1">
        <v>0.0</v>
      </c>
      <c r="AC230" s="1">
        <v>0.0</v>
      </c>
      <c r="AD230" s="1">
        <v>0.0</v>
      </c>
      <c r="AE230" s="6">
        <v>0.39305555555555555</v>
      </c>
      <c r="AF230" s="1" t="s">
        <v>39</v>
      </c>
    </row>
    <row r="231">
      <c r="B231" s="2">
        <v>46183.0</v>
      </c>
      <c r="C231" s="3">
        <v>0.4166666666666667</v>
      </c>
      <c r="D231" s="3">
        <v>0.4583333333333333</v>
      </c>
      <c r="E231" s="3">
        <v>0.4166666666666667</v>
      </c>
      <c r="F231" s="3">
        <v>0.4847222222222222</v>
      </c>
      <c r="G231" s="1">
        <v>2.2543506901E11</v>
      </c>
      <c r="H231" s="1" t="s">
        <v>384</v>
      </c>
      <c r="J231" s="1" t="s">
        <v>32</v>
      </c>
      <c r="K231" s="4">
        <f>+5213319181515</f>
        <v>5213319181515</v>
      </c>
      <c r="L231" s="1" t="s">
        <v>47</v>
      </c>
      <c r="M231" s="1" t="s">
        <v>48</v>
      </c>
      <c r="N231" s="1" t="s">
        <v>385</v>
      </c>
      <c r="P231" s="1">
        <v>0.0</v>
      </c>
      <c r="R231" s="1" t="s">
        <v>45</v>
      </c>
      <c r="S231" s="1" t="s">
        <v>45</v>
      </c>
      <c r="U231" s="1" t="s">
        <v>36</v>
      </c>
      <c r="V231" s="1">
        <v>39.0</v>
      </c>
      <c r="W231" s="1">
        <v>59.0</v>
      </c>
      <c r="X231" s="1">
        <v>98.0</v>
      </c>
      <c r="Y231" s="1" t="s">
        <v>50</v>
      </c>
      <c r="AA231" s="1" t="s">
        <v>38</v>
      </c>
      <c r="AB231" s="1">
        <v>0.0</v>
      </c>
      <c r="AC231" s="1">
        <v>0.0</v>
      </c>
      <c r="AD231" s="1">
        <v>0.0</v>
      </c>
      <c r="AE231" s="6">
        <v>0.44375</v>
      </c>
      <c r="AF231" s="1" t="s">
        <v>39</v>
      </c>
    </row>
    <row r="232">
      <c r="B232" s="2">
        <v>46182.0</v>
      </c>
      <c r="C232" s="3">
        <v>0.625</v>
      </c>
      <c r="D232" s="3">
        <v>0.6354166666666666</v>
      </c>
      <c r="E232" s="3">
        <v>0.625</v>
      </c>
      <c r="F232" s="3">
        <v>0.6166666666666667</v>
      </c>
      <c r="H232" s="1" t="s">
        <v>386</v>
      </c>
      <c r="J232" s="1" t="s">
        <v>32</v>
      </c>
      <c r="K232" s="1">
        <v>3.32559752E9</v>
      </c>
      <c r="L232" s="1" t="s">
        <v>33</v>
      </c>
      <c r="M232" s="1" t="s">
        <v>34</v>
      </c>
      <c r="P232" s="1">
        <v>0.0</v>
      </c>
      <c r="Q232" s="1">
        <v>0.0</v>
      </c>
      <c r="R232" s="1" t="s">
        <v>35</v>
      </c>
      <c r="S232" s="1" t="s">
        <v>35</v>
      </c>
      <c r="U232" s="1" t="s">
        <v>55</v>
      </c>
      <c r="V232" s="1">
        <v>0.0</v>
      </c>
      <c r="W232" s="1">
        <v>-12.0</v>
      </c>
      <c r="X232" s="1">
        <v>-12.0</v>
      </c>
      <c r="Y232" s="1" t="s">
        <v>37</v>
      </c>
      <c r="AA232" s="1" t="s">
        <v>38</v>
      </c>
      <c r="AB232" s="1">
        <v>0.0</v>
      </c>
      <c r="AC232" s="1">
        <v>0.0</v>
      </c>
      <c r="AD232" s="1">
        <v>0.0</v>
      </c>
      <c r="AE232" s="6">
        <v>0.625</v>
      </c>
      <c r="AF232" s="1" t="s">
        <v>39</v>
      </c>
    </row>
    <row r="233">
      <c r="B233" s="2">
        <v>46182.0</v>
      </c>
      <c r="C233" s="3">
        <v>0.5625</v>
      </c>
      <c r="D233" s="3">
        <v>0.6041666666666666</v>
      </c>
      <c r="E233" s="3">
        <v>0.5625</v>
      </c>
      <c r="F233" s="3">
        <v>0.6097222222222223</v>
      </c>
      <c r="H233" s="1" t="s">
        <v>387</v>
      </c>
      <c r="J233" s="1" t="s">
        <v>32</v>
      </c>
      <c r="K233" s="1">
        <v>3.31217202E9</v>
      </c>
      <c r="L233" s="1" t="s">
        <v>105</v>
      </c>
      <c r="M233" s="1" t="s">
        <v>48</v>
      </c>
      <c r="P233" s="1">
        <v>0.0</v>
      </c>
      <c r="R233" s="1" t="s">
        <v>35</v>
      </c>
      <c r="S233" s="1" t="s">
        <v>35</v>
      </c>
      <c r="U233" s="1" t="s">
        <v>55</v>
      </c>
      <c r="V233" s="1">
        <v>25.0</v>
      </c>
      <c r="W233" s="1">
        <v>43.0</v>
      </c>
      <c r="X233" s="1">
        <v>68.0</v>
      </c>
      <c r="Y233" s="1" t="s">
        <v>37</v>
      </c>
      <c r="AA233" s="1" t="s">
        <v>38</v>
      </c>
      <c r="AB233" s="1">
        <v>0.0</v>
      </c>
      <c r="AC233" s="1">
        <v>0.0</v>
      </c>
      <c r="AD233" s="1">
        <v>0.0</v>
      </c>
      <c r="AE233" s="6">
        <v>0.5798611111111112</v>
      </c>
      <c r="AF233" s="1" t="s">
        <v>39</v>
      </c>
    </row>
    <row r="234">
      <c r="B234" s="2">
        <v>46182.0</v>
      </c>
      <c r="C234" s="3">
        <v>0.6666666666666666</v>
      </c>
      <c r="D234" s="3">
        <v>0.6770833333333334</v>
      </c>
      <c r="E234" s="3">
        <v>0.6666666666666666</v>
      </c>
      <c r="F234" s="3">
        <v>0.6868055555555556</v>
      </c>
      <c r="G234" s="1">
        <v>2.2565350402E11</v>
      </c>
      <c r="H234" s="1" t="s">
        <v>388</v>
      </c>
      <c r="J234" s="1" t="s">
        <v>32</v>
      </c>
      <c r="K234" s="4" t="str">
        <f>+1 714 910 6427</f>
        <v>#ERROR!</v>
      </c>
      <c r="L234" s="1" t="s">
        <v>33</v>
      </c>
      <c r="M234" s="1" t="s">
        <v>34</v>
      </c>
      <c r="P234" s="5">
        <v>0.0</v>
      </c>
      <c r="R234" s="1" t="s">
        <v>35</v>
      </c>
      <c r="S234" s="1" t="s">
        <v>35</v>
      </c>
      <c r="U234" s="1" t="s">
        <v>36</v>
      </c>
      <c r="V234" s="1">
        <v>0.0</v>
      </c>
      <c r="W234" s="1">
        <v>29.0</v>
      </c>
      <c r="X234" s="1">
        <v>29.0</v>
      </c>
      <c r="Y234" s="1" t="s">
        <v>37</v>
      </c>
      <c r="AA234" s="1" t="s">
        <v>38</v>
      </c>
      <c r="AB234" s="1">
        <v>0.0</v>
      </c>
      <c r="AC234" s="1">
        <v>0.0</v>
      </c>
      <c r="AD234" s="1">
        <v>0.0</v>
      </c>
      <c r="AE234" s="6">
        <v>0.6666666666666666</v>
      </c>
      <c r="AF234" s="1" t="s">
        <v>39</v>
      </c>
    </row>
    <row r="235">
      <c r="B235" s="2">
        <v>46182.0</v>
      </c>
      <c r="C235" s="3">
        <v>0.4375</v>
      </c>
      <c r="D235" s="3">
        <v>0.4479166666666667</v>
      </c>
      <c r="E235" s="3">
        <v>0.4375</v>
      </c>
      <c r="F235" s="3">
        <v>0.4965277777777778</v>
      </c>
      <c r="H235" s="1" t="s">
        <v>166</v>
      </c>
      <c r="J235" s="1" t="s">
        <v>32</v>
      </c>
      <c r="K235" s="1">
        <v>1.13605508336E11</v>
      </c>
      <c r="L235" s="1" t="s">
        <v>97</v>
      </c>
      <c r="M235" s="1" t="s">
        <v>42</v>
      </c>
      <c r="N235" s="1" t="s">
        <v>197</v>
      </c>
      <c r="P235" s="5">
        <v>1172.0</v>
      </c>
      <c r="Q235" s="1">
        <v>0.0</v>
      </c>
      <c r="R235" s="1" t="s">
        <v>44</v>
      </c>
      <c r="S235" s="1" t="s">
        <v>45</v>
      </c>
      <c r="U235" s="1" t="s">
        <v>36</v>
      </c>
      <c r="V235" s="1">
        <v>0.0</v>
      </c>
      <c r="W235" s="1">
        <v>85.0</v>
      </c>
      <c r="X235" s="1">
        <v>85.0</v>
      </c>
      <c r="Y235" s="1" t="s">
        <v>56</v>
      </c>
      <c r="AA235" s="1" t="s">
        <v>38</v>
      </c>
      <c r="AB235" s="1">
        <v>0.0</v>
      </c>
      <c r="AC235" s="1">
        <v>0.0</v>
      </c>
      <c r="AD235" s="1">
        <v>0.0</v>
      </c>
      <c r="AE235" s="6">
        <v>0.4375</v>
      </c>
      <c r="AF235" s="1" t="s">
        <v>39</v>
      </c>
    </row>
    <row r="236">
      <c r="B236" s="2">
        <v>46182.0</v>
      </c>
      <c r="C236" s="3">
        <v>0.4166666666666667</v>
      </c>
      <c r="D236" s="3">
        <v>0.4583333333333333</v>
      </c>
      <c r="E236" s="3">
        <v>0.4166666666666667</v>
      </c>
      <c r="F236" s="3">
        <v>0.5055555555555555</v>
      </c>
      <c r="H236" s="1" t="s">
        <v>166</v>
      </c>
      <c r="J236" s="1" t="s">
        <v>32</v>
      </c>
      <c r="K236" s="1">
        <v>1.13605508336E11</v>
      </c>
      <c r="L236" s="1" t="s">
        <v>105</v>
      </c>
      <c r="M236" s="1" t="s">
        <v>48</v>
      </c>
      <c r="N236" s="1" t="s">
        <v>389</v>
      </c>
      <c r="P236" s="5">
        <v>1172.0</v>
      </c>
      <c r="Q236" s="1">
        <v>0.0</v>
      </c>
      <c r="R236" s="1" t="s">
        <v>45</v>
      </c>
      <c r="S236" s="1" t="s">
        <v>45</v>
      </c>
      <c r="U236" s="1" t="s">
        <v>36</v>
      </c>
      <c r="V236" s="1">
        <v>41.0</v>
      </c>
      <c r="W236" s="1">
        <v>87.0</v>
      </c>
      <c r="X236" s="1">
        <v>128.0</v>
      </c>
      <c r="Y236" s="1" t="s">
        <v>50</v>
      </c>
      <c r="AA236" s="1" t="s">
        <v>38</v>
      </c>
      <c r="AB236" s="1">
        <v>0.0</v>
      </c>
      <c r="AC236" s="1">
        <v>0.0</v>
      </c>
      <c r="AD236" s="1">
        <v>0.0</v>
      </c>
      <c r="AE236" s="6">
        <v>0.44513888888888886</v>
      </c>
      <c r="AF236" s="1" t="s">
        <v>39</v>
      </c>
    </row>
    <row r="237">
      <c r="B237" s="2">
        <v>46182.0</v>
      </c>
      <c r="C237" s="3">
        <v>0.7083333333333334</v>
      </c>
      <c r="D237" s="3">
        <v>0.71875</v>
      </c>
      <c r="E237" s="3">
        <v>0.7083333333333334</v>
      </c>
      <c r="F237" s="3">
        <v>0.7520833333333333</v>
      </c>
      <c r="G237" s="1">
        <v>1.22439590494E11</v>
      </c>
      <c r="H237" s="1" t="s">
        <v>390</v>
      </c>
      <c r="J237" s="1" t="s">
        <v>32</v>
      </c>
      <c r="K237" s="4">
        <f>+5213338152596</f>
        <v>5213338152596</v>
      </c>
      <c r="L237" s="1" t="s">
        <v>33</v>
      </c>
      <c r="M237" s="1" t="s">
        <v>34</v>
      </c>
      <c r="P237" s="5">
        <v>0.0</v>
      </c>
      <c r="R237" s="1" t="s">
        <v>35</v>
      </c>
      <c r="S237" s="1" t="s">
        <v>45</v>
      </c>
      <c r="U237" s="1" t="s">
        <v>55</v>
      </c>
      <c r="V237" s="1">
        <v>0.0</v>
      </c>
      <c r="W237" s="1">
        <v>63.0</v>
      </c>
      <c r="X237" s="1">
        <v>63.0</v>
      </c>
      <c r="Y237" s="1" t="s">
        <v>37</v>
      </c>
      <c r="AA237" s="1" t="s">
        <v>38</v>
      </c>
      <c r="AB237" s="1">
        <v>0.0</v>
      </c>
      <c r="AC237" s="1">
        <v>0.0</v>
      </c>
      <c r="AD237" s="1">
        <v>0.0</v>
      </c>
      <c r="AE237" s="6">
        <v>0.7083333333333334</v>
      </c>
      <c r="AF237" s="1" t="s">
        <v>39</v>
      </c>
    </row>
    <row r="238">
      <c r="B238" s="2">
        <v>46182.0</v>
      </c>
      <c r="C238" s="3">
        <v>0.375</v>
      </c>
      <c r="D238" s="3">
        <v>0.40625</v>
      </c>
      <c r="E238" s="3">
        <v>0.375</v>
      </c>
      <c r="F238" s="3">
        <v>0.4444444444444444</v>
      </c>
      <c r="H238" s="1" t="s">
        <v>391</v>
      </c>
      <c r="J238" s="1" t="s">
        <v>32</v>
      </c>
      <c r="K238" s="4" t="str">
        <f>+52 33 1049 7165</f>
        <v>#ERROR!</v>
      </c>
      <c r="L238" s="1" t="s">
        <v>223</v>
      </c>
      <c r="M238" s="1" t="s">
        <v>42</v>
      </c>
      <c r="N238" s="1" t="s">
        <v>392</v>
      </c>
      <c r="P238" s="5">
        <v>0.0</v>
      </c>
      <c r="R238" s="1" t="s">
        <v>53</v>
      </c>
      <c r="S238" s="1" t="s">
        <v>393</v>
      </c>
      <c r="U238" s="1" t="s">
        <v>55</v>
      </c>
      <c r="V238" s="1">
        <v>-36.0</v>
      </c>
      <c r="W238" s="1">
        <v>136.0</v>
      </c>
      <c r="X238" s="1">
        <v>100.0</v>
      </c>
      <c r="Y238" s="1" t="s">
        <v>78</v>
      </c>
      <c r="AA238" s="1" t="s">
        <v>38</v>
      </c>
      <c r="AB238" s="1">
        <v>0.0</v>
      </c>
      <c r="AC238" s="1">
        <v>0.0</v>
      </c>
      <c r="AD238" s="1">
        <v>0.0</v>
      </c>
      <c r="AE238" s="6">
        <v>0.35</v>
      </c>
      <c r="AF238" s="1" t="s">
        <v>39</v>
      </c>
    </row>
    <row r="239">
      <c r="B239" s="2">
        <v>46182.0</v>
      </c>
      <c r="C239" s="3">
        <v>0.375</v>
      </c>
      <c r="D239" s="3">
        <v>0.4166666666666667</v>
      </c>
      <c r="E239" s="3">
        <v>0.375</v>
      </c>
      <c r="F239" s="3">
        <v>0.43194444444444446</v>
      </c>
      <c r="H239" s="1" t="s">
        <v>391</v>
      </c>
      <c r="J239" s="1" t="s">
        <v>32</v>
      </c>
      <c r="K239" s="4" t="str">
        <f>+52 33 1049 7165</f>
        <v>#ERROR!</v>
      </c>
      <c r="L239" s="1" t="s">
        <v>272</v>
      </c>
      <c r="M239" s="1" t="s">
        <v>87</v>
      </c>
      <c r="N239" s="1" t="s">
        <v>392</v>
      </c>
      <c r="P239" s="1">
        <v>0.0</v>
      </c>
      <c r="R239" s="1" t="s">
        <v>44</v>
      </c>
      <c r="S239" s="1" t="s">
        <v>393</v>
      </c>
      <c r="U239" s="1" t="s">
        <v>55</v>
      </c>
      <c r="V239" s="1">
        <v>-37.0</v>
      </c>
      <c r="W239" s="1">
        <v>119.0</v>
      </c>
      <c r="X239" s="1">
        <v>82.0</v>
      </c>
      <c r="Y239" s="1" t="s">
        <v>78</v>
      </c>
      <c r="AA239" s="1" t="s">
        <v>38</v>
      </c>
      <c r="AB239" s="1">
        <v>0.0</v>
      </c>
      <c r="AC239" s="1">
        <v>0.0</v>
      </c>
      <c r="AD239" s="1">
        <v>0.0</v>
      </c>
      <c r="AE239" s="6">
        <v>0.34930555555555554</v>
      </c>
      <c r="AF239" s="1" t="s">
        <v>39</v>
      </c>
    </row>
    <row r="240">
      <c r="B240" s="2">
        <v>46182.0</v>
      </c>
      <c r="C240" s="3">
        <v>0.625</v>
      </c>
      <c r="D240" s="3">
        <v>0.6666666666666666</v>
      </c>
      <c r="E240" s="3">
        <v>0.625</v>
      </c>
      <c r="F240" s="3">
        <v>0.6118055555555556</v>
      </c>
      <c r="G240" s="1">
        <v>1.64157311103E11</v>
      </c>
      <c r="H240" s="1" t="s">
        <v>163</v>
      </c>
      <c r="J240" s="1" t="s">
        <v>32</v>
      </c>
      <c r="K240" s="4">
        <f>+523314665402</f>
        <v>523314665402</v>
      </c>
      <c r="L240" s="1" t="s">
        <v>241</v>
      </c>
      <c r="M240" s="1" t="s">
        <v>34</v>
      </c>
      <c r="N240" s="1" t="s">
        <v>67</v>
      </c>
      <c r="P240" s="1">
        <v>0.0</v>
      </c>
      <c r="Q240" s="1">
        <v>0.0</v>
      </c>
      <c r="R240" s="1" t="s">
        <v>45</v>
      </c>
      <c r="S240" s="1" t="s">
        <v>45</v>
      </c>
      <c r="U240" s="1" t="s">
        <v>164</v>
      </c>
      <c r="V240" s="1">
        <v>0.0</v>
      </c>
      <c r="W240" s="1">
        <v>-19.0</v>
      </c>
      <c r="X240" s="1">
        <v>-19.0</v>
      </c>
      <c r="Y240" s="1" t="s">
        <v>50</v>
      </c>
      <c r="AA240" s="1" t="s">
        <v>38</v>
      </c>
      <c r="AB240" s="1">
        <v>0.0</v>
      </c>
      <c r="AC240" s="1">
        <v>0.0</v>
      </c>
      <c r="AD240" s="1">
        <v>0.0</v>
      </c>
      <c r="AE240" s="6">
        <v>0.625</v>
      </c>
      <c r="AF240" s="1" t="s">
        <v>39</v>
      </c>
    </row>
    <row r="241">
      <c r="B241" s="2">
        <v>46182.0</v>
      </c>
      <c r="C241" s="3">
        <v>0.6875</v>
      </c>
      <c r="D241" s="3">
        <v>0.7083333333333334</v>
      </c>
      <c r="E241" s="3">
        <v>0.6888888888888889</v>
      </c>
      <c r="F241" s="3">
        <v>0.7006944444444444</v>
      </c>
      <c r="G241" s="1">
        <v>9.4335666501E10</v>
      </c>
      <c r="H241" s="1" t="s">
        <v>100</v>
      </c>
      <c r="J241" s="1" t="s">
        <v>32</v>
      </c>
      <c r="K241" s="4">
        <f>+523313273436</f>
        <v>523313273436</v>
      </c>
      <c r="L241" s="1" t="s">
        <v>343</v>
      </c>
      <c r="M241" s="1" t="s">
        <v>59</v>
      </c>
      <c r="N241" s="1" t="s">
        <v>67</v>
      </c>
      <c r="P241" s="5">
        <v>15000.0</v>
      </c>
      <c r="Q241" s="1">
        <v>0.0</v>
      </c>
      <c r="R241" s="1" t="s">
        <v>45</v>
      </c>
      <c r="S241" s="1" t="s">
        <v>45</v>
      </c>
      <c r="U241" s="1" t="s">
        <v>36</v>
      </c>
      <c r="V241" s="1">
        <v>0.0</v>
      </c>
      <c r="W241" s="1">
        <v>17.0</v>
      </c>
      <c r="X241" s="1">
        <v>17.0</v>
      </c>
      <c r="Y241" s="1" t="s">
        <v>50</v>
      </c>
      <c r="AA241" s="1" t="s">
        <v>38</v>
      </c>
      <c r="AB241" s="1">
        <v>0.0</v>
      </c>
      <c r="AC241" s="1">
        <v>0.0</v>
      </c>
      <c r="AD241" s="1">
        <v>0.0</v>
      </c>
      <c r="AE241" s="6">
        <v>0.6888888888888889</v>
      </c>
      <c r="AF241" s="1" t="s">
        <v>39</v>
      </c>
    </row>
    <row r="242">
      <c r="B242" s="2">
        <v>46182.0</v>
      </c>
      <c r="C242" s="3">
        <v>0.3541666666666667</v>
      </c>
      <c r="D242" s="3">
        <v>0.375</v>
      </c>
      <c r="E242" s="3">
        <v>0.3541666666666667</v>
      </c>
      <c r="F242" s="3">
        <v>0.40069444444444446</v>
      </c>
      <c r="H242" s="1" t="s">
        <v>394</v>
      </c>
      <c r="J242" s="1" t="s">
        <v>32</v>
      </c>
      <c r="K242" s="4" t="str">
        <f>+52 322 371 1536</f>
        <v>#ERROR!</v>
      </c>
      <c r="L242" s="1" t="s">
        <v>90</v>
      </c>
      <c r="M242" s="1" t="s">
        <v>87</v>
      </c>
      <c r="N242" s="1" t="s">
        <v>395</v>
      </c>
      <c r="P242" s="1">
        <v>0.0</v>
      </c>
      <c r="Q242" s="1">
        <v>0.0</v>
      </c>
      <c r="R242" s="1" t="s">
        <v>53</v>
      </c>
      <c r="S242" s="1" t="s">
        <v>191</v>
      </c>
      <c r="U242" s="1" t="s">
        <v>55</v>
      </c>
      <c r="V242" s="1">
        <v>-7.0</v>
      </c>
      <c r="W242" s="1">
        <v>74.0</v>
      </c>
      <c r="X242" s="1">
        <v>67.0</v>
      </c>
      <c r="Y242" s="1" t="s">
        <v>78</v>
      </c>
      <c r="AA242" s="1" t="s">
        <v>38</v>
      </c>
      <c r="AB242" s="1">
        <v>0.0</v>
      </c>
      <c r="AC242" s="1">
        <v>0.0</v>
      </c>
      <c r="AD242" s="1">
        <v>0.0</v>
      </c>
      <c r="AE242" s="6">
        <v>0.34930555555555554</v>
      </c>
      <c r="AF242" s="1" t="s">
        <v>39</v>
      </c>
    </row>
    <row r="243">
      <c r="B243" s="2">
        <v>46182.0</v>
      </c>
      <c r="C243" s="3">
        <v>0.5</v>
      </c>
      <c r="D243" s="3">
        <v>0.5208333333333334</v>
      </c>
      <c r="E243" s="3">
        <v>0.5</v>
      </c>
      <c r="F243" s="3">
        <v>0.5055555555555555</v>
      </c>
      <c r="G243" s="1">
        <v>1.59956072708E11</v>
      </c>
      <c r="H243" s="1" t="s">
        <v>367</v>
      </c>
      <c r="J243" s="1" t="s">
        <v>32</v>
      </c>
      <c r="K243" s="4">
        <f>+19096094054</f>
        <v>19096094054</v>
      </c>
      <c r="L243" s="1" t="s">
        <v>101</v>
      </c>
      <c r="M243" s="1" t="s">
        <v>59</v>
      </c>
      <c r="N243" s="1" t="s">
        <v>67</v>
      </c>
      <c r="P243" s="1">
        <v>0.0</v>
      </c>
      <c r="Q243" s="1">
        <v>0.0</v>
      </c>
      <c r="R243" s="1" t="s">
        <v>122</v>
      </c>
      <c r="S243" s="1" t="s">
        <v>122</v>
      </c>
      <c r="U243" s="1" t="s">
        <v>55</v>
      </c>
      <c r="V243" s="1">
        <v>0.0</v>
      </c>
      <c r="W243" s="1">
        <v>8.0</v>
      </c>
      <c r="X243" s="1">
        <v>8.0</v>
      </c>
      <c r="Y243" s="1" t="s">
        <v>50</v>
      </c>
      <c r="AA243" s="1" t="s">
        <v>64</v>
      </c>
      <c r="AB243" s="1">
        <v>0.0</v>
      </c>
      <c r="AC243" s="1">
        <v>0.0</v>
      </c>
      <c r="AD243" s="1">
        <v>0.0</v>
      </c>
      <c r="AE243" s="6">
        <v>0.5</v>
      </c>
      <c r="AF243" s="1" t="s">
        <v>39</v>
      </c>
    </row>
    <row r="244">
      <c r="B244" s="2">
        <v>46182.0</v>
      </c>
      <c r="C244" s="3">
        <v>0.7916666666666666</v>
      </c>
      <c r="D244" s="3">
        <v>0.8333333333333334</v>
      </c>
      <c r="E244" s="3">
        <v>0.7916666666666666</v>
      </c>
      <c r="F244" s="3">
        <v>0.8131944444444444</v>
      </c>
      <c r="G244" s="1">
        <v>2.27149049958E11</v>
      </c>
      <c r="H244" s="1" t="s">
        <v>396</v>
      </c>
      <c r="J244" s="1" t="s">
        <v>32</v>
      </c>
      <c r="K244" s="4">
        <f>+16166001987</f>
        <v>16166001987</v>
      </c>
      <c r="L244" s="1" t="s">
        <v>289</v>
      </c>
      <c r="M244" s="1" t="s">
        <v>48</v>
      </c>
      <c r="N244" s="1" t="s">
        <v>397</v>
      </c>
      <c r="P244" s="5">
        <v>0.0</v>
      </c>
      <c r="R244" s="1" t="s">
        <v>35</v>
      </c>
      <c r="S244" s="1" t="s">
        <v>35</v>
      </c>
      <c r="U244" s="1" t="s">
        <v>36</v>
      </c>
      <c r="V244" s="1">
        <v>0.0</v>
      </c>
      <c r="W244" s="1">
        <v>31.0</v>
      </c>
      <c r="X244" s="1">
        <v>31.0</v>
      </c>
      <c r="Y244" s="1" t="s">
        <v>50</v>
      </c>
      <c r="AA244" s="1" t="s">
        <v>64</v>
      </c>
      <c r="AB244" s="1">
        <v>0.0</v>
      </c>
      <c r="AC244" s="1">
        <v>0.0</v>
      </c>
      <c r="AD244" s="1">
        <v>0.0</v>
      </c>
      <c r="AE244" s="6">
        <v>0.7916666666666666</v>
      </c>
      <c r="AF244" s="1" t="s">
        <v>39</v>
      </c>
    </row>
    <row r="245">
      <c r="B245" s="2">
        <v>46182.0</v>
      </c>
      <c r="C245" s="3">
        <v>0.4166666666666667</v>
      </c>
      <c r="D245" s="3">
        <v>0.4479166666666667</v>
      </c>
      <c r="E245" s="3">
        <v>0.4166666666666667</v>
      </c>
      <c r="F245" s="3">
        <v>0.44513888888888886</v>
      </c>
      <c r="G245" s="7">
        <v>2.26691648098216E22</v>
      </c>
      <c r="H245" s="1" t="s">
        <v>398</v>
      </c>
      <c r="J245" s="1" t="s">
        <v>32</v>
      </c>
      <c r="K245" s="4">
        <f>+523321083020</f>
        <v>523321083020</v>
      </c>
      <c r="L245" s="1" t="s">
        <v>75</v>
      </c>
      <c r="M245" s="1" t="s">
        <v>42</v>
      </c>
      <c r="N245" s="1" t="s">
        <v>399</v>
      </c>
      <c r="P245" s="1">
        <v>0.0</v>
      </c>
      <c r="Q245" s="1">
        <v>0.0</v>
      </c>
      <c r="R245" s="1" t="s">
        <v>53</v>
      </c>
      <c r="S245" s="1" t="s">
        <v>122</v>
      </c>
      <c r="U245" s="1" t="s">
        <v>55</v>
      </c>
      <c r="V245" s="1">
        <v>0.0</v>
      </c>
      <c r="W245" s="1">
        <v>41.0</v>
      </c>
      <c r="X245" s="1">
        <v>41.0</v>
      </c>
      <c r="Y245" s="1" t="s">
        <v>400</v>
      </c>
      <c r="AA245" s="1" t="s">
        <v>38</v>
      </c>
      <c r="AB245" s="1">
        <v>0.0</v>
      </c>
      <c r="AC245" s="1">
        <v>0.0</v>
      </c>
      <c r="AD245" s="1">
        <v>0.0</v>
      </c>
      <c r="AE245" s="6">
        <v>0.4166666666666667</v>
      </c>
      <c r="AF245" s="1" t="s">
        <v>39</v>
      </c>
    </row>
    <row r="246">
      <c r="B246" s="2">
        <v>46182.0</v>
      </c>
      <c r="C246" s="3">
        <v>0.4166666666666667</v>
      </c>
      <c r="D246" s="3">
        <v>0.4236111111111111</v>
      </c>
      <c r="E246" s="3">
        <v>0.4166666666666667</v>
      </c>
      <c r="F246" s="3">
        <v>0.4444444444444444</v>
      </c>
      <c r="H246" s="1" t="s">
        <v>195</v>
      </c>
      <c r="J246" s="1" t="s">
        <v>32</v>
      </c>
      <c r="K246" s="1">
        <v>3.313461247E9</v>
      </c>
      <c r="L246" s="1" t="s">
        <v>41</v>
      </c>
      <c r="M246" s="1" t="s">
        <v>42</v>
      </c>
      <c r="N246" s="1" t="s">
        <v>401</v>
      </c>
      <c r="P246" s="1">
        <v>0.0</v>
      </c>
      <c r="Q246" s="1">
        <v>0.0</v>
      </c>
      <c r="R246" s="1" t="s">
        <v>44</v>
      </c>
      <c r="S246" s="1" t="s">
        <v>122</v>
      </c>
      <c r="U246" s="1" t="s">
        <v>55</v>
      </c>
      <c r="V246" s="1">
        <v>0.0</v>
      </c>
      <c r="W246" s="1">
        <v>40.0</v>
      </c>
      <c r="X246" s="1">
        <v>40.0</v>
      </c>
      <c r="Y246" s="1" t="s">
        <v>400</v>
      </c>
      <c r="AA246" s="1" t="s">
        <v>38</v>
      </c>
      <c r="AB246" s="1">
        <v>0.0</v>
      </c>
      <c r="AC246" s="1">
        <v>0.0</v>
      </c>
      <c r="AD246" s="1">
        <v>0.0</v>
      </c>
      <c r="AE246" s="6">
        <v>0.4166666666666667</v>
      </c>
      <c r="AF246" s="1" t="s">
        <v>39</v>
      </c>
    </row>
    <row r="247">
      <c r="B247" s="2">
        <v>46182.0</v>
      </c>
      <c r="C247" s="3">
        <v>0.5416666666666666</v>
      </c>
      <c r="D247" s="3">
        <v>0.5520833333333334</v>
      </c>
      <c r="E247" s="3">
        <v>0.5416666666666666</v>
      </c>
      <c r="F247" s="3">
        <v>0.4909722222222222</v>
      </c>
      <c r="G247" s="7">
        <v>2.21122933317216E22</v>
      </c>
      <c r="H247" s="1" t="s">
        <v>402</v>
      </c>
      <c r="J247" s="1" t="s">
        <v>32</v>
      </c>
      <c r="K247" s="4">
        <f>+525636444156</f>
        <v>525636444156</v>
      </c>
      <c r="L247" s="1" t="s">
        <v>33</v>
      </c>
      <c r="M247" s="1" t="s">
        <v>34</v>
      </c>
      <c r="P247" s="1">
        <v>0.0</v>
      </c>
      <c r="R247" s="1" t="s">
        <v>62</v>
      </c>
      <c r="S247" s="1" t="s">
        <v>62</v>
      </c>
      <c r="U247" s="1" t="s">
        <v>55</v>
      </c>
      <c r="V247" s="1">
        <v>0.0</v>
      </c>
      <c r="W247" s="1">
        <v>-73.0</v>
      </c>
      <c r="X247" s="1">
        <v>-73.0</v>
      </c>
      <c r="Y247" s="1" t="s">
        <v>37</v>
      </c>
      <c r="AA247" s="1" t="s">
        <v>38</v>
      </c>
      <c r="AB247" s="1">
        <v>0.0</v>
      </c>
      <c r="AC247" s="1">
        <v>0.0</v>
      </c>
      <c r="AD247" s="1">
        <v>0.0</v>
      </c>
      <c r="AE247" s="6">
        <v>0.5416666666666666</v>
      </c>
      <c r="AF247" s="1" t="s">
        <v>39</v>
      </c>
    </row>
    <row r="248">
      <c r="B248" s="2">
        <v>46182.0</v>
      </c>
      <c r="C248" s="3">
        <v>0.4583333333333333</v>
      </c>
      <c r="D248" s="3">
        <v>0.5</v>
      </c>
      <c r="E248" s="3">
        <v>0.4583333333333333</v>
      </c>
      <c r="F248" s="3">
        <v>0.48680555555555555</v>
      </c>
      <c r="H248" s="1" t="s">
        <v>195</v>
      </c>
      <c r="J248" s="1" t="s">
        <v>32</v>
      </c>
      <c r="K248" s="1">
        <v>3.313461247E9</v>
      </c>
      <c r="L248" s="1" t="s">
        <v>105</v>
      </c>
      <c r="M248" s="1" t="s">
        <v>48</v>
      </c>
      <c r="N248" s="1" t="s">
        <v>403</v>
      </c>
      <c r="P248" s="1">
        <v>0.0</v>
      </c>
      <c r="Q248" s="1">
        <v>0.0</v>
      </c>
      <c r="R248" s="1" t="s">
        <v>122</v>
      </c>
      <c r="S248" s="1" t="s">
        <v>122</v>
      </c>
      <c r="U248" s="1" t="s">
        <v>55</v>
      </c>
      <c r="V248" s="1">
        <v>13.0</v>
      </c>
      <c r="W248" s="1">
        <v>28.0</v>
      </c>
      <c r="X248" s="1">
        <v>41.0</v>
      </c>
      <c r="Y248" s="1" t="s">
        <v>400</v>
      </c>
      <c r="AA248" s="1" t="s">
        <v>38</v>
      </c>
      <c r="AB248" s="1">
        <v>0.0</v>
      </c>
      <c r="AC248" s="1">
        <v>0.0</v>
      </c>
      <c r="AD248" s="1">
        <v>0.0</v>
      </c>
      <c r="AE248" s="6">
        <v>0.4673611111111111</v>
      </c>
      <c r="AF248" s="1" t="s">
        <v>39</v>
      </c>
    </row>
    <row r="249">
      <c r="B249" s="2">
        <v>46182.0</v>
      </c>
      <c r="C249" s="3">
        <v>0.375</v>
      </c>
      <c r="D249" s="3">
        <v>0.4166666666666667</v>
      </c>
      <c r="E249" s="3">
        <v>0.375</v>
      </c>
      <c r="F249" s="3">
        <v>0.40069444444444446</v>
      </c>
      <c r="G249" s="1">
        <v>1.00761724073E11</v>
      </c>
      <c r="H249" s="1" t="s">
        <v>365</v>
      </c>
      <c r="J249" s="1" t="s">
        <v>32</v>
      </c>
      <c r="K249" s="4">
        <f>+5213335594126</f>
        <v>5213335594126</v>
      </c>
      <c r="L249" s="1" t="s">
        <v>380</v>
      </c>
      <c r="M249" s="1" t="s">
        <v>48</v>
      </c>
      <c r="N249" s="1" t="s">
        <v>67</v>
      </c>
      <c r="P249" s="1">
        <v>0.0</v>
      </c>
      <c r="R249" s="1" t="s">
        <v>45</v>
      </c>
      <c r="S249" s="1" t="s">
        <v>45</v>
      </c>
      <c r="U249" s="1" t="s">
        <v>36</v>
      </c>
      <c r="V249" s="1">
        <v>0.0</v>
      </c>
      <c r="W249" s="1">
        <v>37.0</v>
      </c>
      <c r="X249" s="1">
        <v>37.0</v>
      </c>
      <c r="Y249" s="1" t="s">
        <v>50</v>
      </c>
      <c r="AA249" s="1" t="s">
        <v>38</v>
      </c>
      <c r="AB249" s="1">
        <v>0.0</v>
      </c>
      <c r="AC249" s="1">
        <v>0.0</v>
      </c>
      <c r="AD249" s="1">
        <v>0.0</v>
      </c>
      <c r="AE249" s="6">
        <v>0.375</v>
      </c>
      <c r="AF249" s="1" t="s">
        <v>39</v>
      </c>
    </row>
    <row r="250">
      <c r="B250" s="2">
        <v>46181.0</v>
      </c>
      <c r="C250" s="3">
        <v>0.6666666666666666</v>
      </c>
      <c r="D250" s="3">
        <v>0.6770833333333334</v>
      </c>
      <c r="E250" s="3">
        <v>0.6666666666666666</v>
      </c>
      <c r="F250" s="3">
        <v>0.5277777777777778</v>
      </c>
      <c r="G250" s="1">
        <v>2.22405825702E11</v>
      </c>
      <c r="H250" s="1" t="s">
        <v>404</v>
      </c>
      <c r="J250" s="1" t="s">
        <v>32</v>
      </c>
      <c r="K250" s="4">
        <f>+523781160762</f>
        <v>523781160762</v>
      </c>
      <c r="L250" s="1" t="s">
        <v>33</v>
      </c>
      <c r="M250" s="1" t="s">
        <v>34</v>
      </c>
      <c r="P250" s="1">
        <v>0.0</v>
      </c>
      <c r="R250" s="1" t="s">
        <v>35</v>
      </c>
      <c r="S250" s="1" t="s">
        <v>35</v>
      </c>
      <c r="U250" s="1" t="s">
        <v>36</v>
      </c>
      <c r="V250" s="1">
        <v>0.0</v>
      </c>
      <c r="W250" s="1">
        <v>-200.0</v>
      </c>
      <c r="X250" s="1">
        <v>-200.0</v>
      </c>
      <c r="Y250" s="1" t="s">
        <v>37</v>
      </c>
      <c r="AA250" s="1" t="s">
        <v>38</v>
      </c>
      <c r="AB250" s="1">
        <v>0.0</v>
      </c>
      <c r="AC250" s="1">
        <v>0.0</v>
      </c>
      <c r="AD250" s="1">
        <v>0.0</v>
      </c>
      <c r="AE250" s="6">
        <v>0.6666666666666666</v>
      </c>
      <c r="AF250" s="1" t="s">
        <v>39</v>
      </c>
    </row>
    <row r="251">
      <c r="B251" s="2">
        <v>46181.0</v>
      </c>
      <c r="C251" s="3">
        <v>0.7916666666666666</v>
      </c>
      <c r="D251" s="3">
        <v>0.8333333333333334</v>
      </c>
      <c r="E251" s="3">
        <v>0.7916666666666666</v>
      </c>
      <c r="F251" s="3">
        <v>0.8319444444444445</v>
      </c>
      <c r="G251" s="1">
        <v>1.22439590494E11</v>
      </c>
      <c r="H251" s="1" t="s">
        <v>390</v>
      </c>
      <c r="J251" s="1" t="s">
        <v>32</v>
      </c>
      <c r="K251" s="4">
        <f>+5213338152596</f>
        <v>5213338152596</v>
      </c>
      <c r="L251" s="1" t="s">
        <v>83</v>
      </c>
      <c r="M251" s="1" t="s">
        <v>48</v>
      </c>
      <c r="N251" s="1" t="s">
        <v>405</v>
      </c>
      <c r="P251" s="1">
        <v>0.0</v>
      </c>
      <c r="R251" s="1" t="s">
        <v>35</v>
      </c>
      <c r="S251" s="1" t="s">
        <v>45</v>
      </c>
      <c r="U251" s="1" t="s">
        <v>55</v>
      </c>
      <c r="V251" s="1">
        <v>0.0</v>
      </c>
      <c r="W251" s="1">
        <v>58.0</v>
      </c>
      <c r="X251" s="1">
        <v>58.0</v>
      </c>
      <c r="Y251" s="1" t="s">
        <v>81</v>
      </c>
      <c r="AA251" s="1" t="s">
        <v>38</v>
      </c>
      <c r="AB251" s="1">
        <v>1.0</v>
      </c>
      <c r="AC251" s="1">
        <v>0.0</v>
      </c>
      <c r="AD251" s="1">
        <v>0.0</v>
      </c>
      <c r="AE251" s="6">
        <v>0.7916666666666666</v>
      </c>
      <c r="AF251" s="1" t="s">
        <v>39</v>
      </c>
    </row>
    <row r="252">
      <c r="B252" s="2">
        <v>46181.0</v>
      </c>
      <c r="C252" s="3">
        <v>0.6736111111111112</v>
      </c>
      <c r="D252" s="3">
        <v>0.6805555555555556</v>
      </c>
      <c r="E252" s="3">
        <v>0.6736111111111112</v>
      </c>
      <c r="F252" s="3">
        <v>0.68125</v>
      </c>
      <c r="G252" s="1">
        <v>2.0984986002E11</v>
      </c>
      <c r="H252" s="1" t="s">
        <v>180</v>
      </c>
      <c r="J252" s="1" t="s">
        <v>32</v>
      </c>
      <c r="K252" s="4" t="str">
        <f>+52 33 3167 0108</f>
        <v>#ERROR!</v>
      </c>
      <c r="L252" s="1" t="s">
        <v>41</v>
      </c>
      <c r="M252" s="1" t="s">
        <v>42</v>
      </c>
      <c r="N252" s="1" t="s">
        <v>406</v>
      </c>
      <c r="P252" s="1">
        <v>0.0</v>
      </c>
      <c r="Q252" s="1">
        <v>0.0</v>
      </c>
      <c r="R252" s="1" t="s">
        <v>44</v>
      </c>
      <c r="S252" s="1" t="s">
        <v>45</v>
      </c>
      <c r="U252" s="1" t="s">
        <v>36</v>
      </c>
      <c r="V252" s="1">
        <v>0.0</v>
      </c>
      <c r="W252" s="1">
        <v>11.0</v>
      </c>
      <c r="X252" s="1">
        <v>11.0</v>
      </c>
      <c r="Y252" s="1" t="s">
        <v>155</v>
      </c>
      <c r="AA252" s="1" t="s">
        <v>38</v>
      </c>
      <c r="AB252" s="1">
        <v>0.0</v>
      </c>
      <c r="AC252" s="1">
        <v>0.0</v>
      </c>
      <c r="AD252" s="1">
        <v>0.0</v>
      </c>
      <c r="AE252" s="6">
        <v>0.6736111111111112</v>
      </c>
      <c r="AF252" s="1" t="s">
        <v>39</v>
      </c>
    </row>
    <row r="253">
      <c r="B253" s="2">
        <v>46181.0</v>
      </c>
      <c r="C253" s="3">
        <v>0.6666666666666666</v>
      </c>
      <c r="D253" s="3">
        <v>0.7083333333333334</v>
      </c>
      <c r="E253" s="3">
        <v>0.6666666666666666</v>
      </c>
      <c r="F253" s="3">
        <v>0.9256944444444445</v>
      </c>
      <c r="G253" s="1">
        <v>2.27024963623E11</v>
      </c>
      <c r="H253" s="1" t="s">
        <v>407</v>
      </c>
      <c r="J253" s="1" t="s">
        <v>32</v>
      </c>
      <c r="K253" s="4">
        <f>+523221370720</f>
        <v>523221370720</v>
      </c>
      <c r="L253" s="1" t="s">
        <v>105</v>
      </c>
      <c r="M253" s="1" t="s">
        <v>48</v>
      </c>
      <c r="N253" s="1" t="s">
        <v>408</v>
      </c>
      <c r="P253" s="5">
        <v>0.0</v>
      </c>
      <c r="R253" s="1" t="s">
        <v>188</v>
      </c>
      <c r="S253" s="1" t="s">
        <v>188</v>
      </c>
      <c r="U253" s="1" t="s">
        <v>36</v>
      </c>
      <c r="V253" s="1">
        <v>0.0</v>
      </c>
      <c r="W253" s="1">
        <v>373.0</v>
      </c>
      <c r="X253" s="1">
        <v>373.0</v>
      </c>
      <c r="Y253" s="1" t="s">
        <v>50</v>
      </c>
      <c r="AA253" s="1" t="s">
        <v>38</v>
      </c>
      <c r="AB253" s="1">
        <v>0.0</v>
      </c>
      <c r="AC253" s="1">
        <v>0.0</v>
      </c>
      <c r="AD253" s="1">
        <v>0.0</v>
      </c>
      <c r="AE253" s="6">
        <v>0.6666666666666666</v>
      </c>
      <c r="AF253" s="1" t="s">
        <v>39</v>
      </c>
    </row>
    <row r="254">
      <c r="B254" s="2">
        <v>46181.0</v>
      </c>
      <c r="C254" s="3">
        <v>0.5416666666666666</v>
      </c>
      <c r="D254" s="3">
        <v>0.5486111111111112</v>
      </c>
      <c r="E254" s="3">
        <v>0.5416666666666666</v>
      </c>
      <c r="F254" s="3">
        <v>0.5409722222222222</v>
      </c>
      <c r="G254" s="1">
        <v>1.59956072708E11</v>
      </c>
      <c r="H254" s="1" t="s">
        <v>367</v>
      </c>
      <c r="J254" s="1" t="s">
        <v>32</v>
      </c>
      <c r="K254" s="4">
        <f>+19096094054</f>
        <v>19096094054</v>
      </c>
      <c r="L254" s="1" t="s">
        <v>41</v>
      </c>
      <c r="M254" s="1" t="s">
        <v>42</v>
      </c>
      <c r="N254" s="1" t="s">
        <v>409</v>
      </c>
      <c r="P254" s="5">
        <v>0.0</v>
      </c>
      <c r="Q254" s="1">
        <v>0.0</v>
      </c>
      <c r="R254" s="1" t="s">
        <v>44</v>
      </c>
      <c r="S254" s="1" t="s">
        <v>122</v>
      </c>
      <c r="U254" s="1" t="s">
        <v>55</v>
      </c>
      <c r="V254" s="1">
        <v>0.0</v>
      </c>
      <c r="W254" s="1">
        <v>-1.0</v>
      </c>
      <c r="X254" s="1">
        <v>-1.0</v>
      </c>
      <c r="Y254" s="1" t="s">
        <v>78</v>
      </c>
      <c r="AA254" s="1" t="s">
        <v>64</v>
      </c>
      <c r="AB254" s="1">
        <v>0.0</v>
      </c>
      <c r="AC254" s="1">
        <v>0.0</v>
      </c>
      <c r="AD254" s="1">
        <v>0.0</v>
      </c>
      <c r="AE254" s="6">
        <v>0.5416666666666666</v>
      </c>
      <c r="AF254" s="1" t="s">
        <v>39</v>
      </c>
    </row>
    <row r="255">
      <c r="B255" s="2">
        <v>46181.0</v>
      </c>
      <c r="C255" s="3">
        <v>0.3645833333333333</v>
      </c>
      <c r="D255" s="3">
        <v>0.375</v>
      </c>
      <c r="E255" s="3">
        <v>0.3645833333333333</v>
      </c>
      <c r="F255" s="3">
        <v>0.3715277777777778</v>
      </c>
      <c r="G255" s="1">
        <v>5.9864908977E10</v>
      </c>
      <c r="H255" s="1" t="s">
        <v>224</v>
      </c>
      <c r="J255" s="1" t="s">
        <v>32</v>
      </c>
      <c r="K255" s="4">
        <f>+523311491429</f>
        <v>523311491429</v>
      </c>
      <c r="L255" s="1" t="s">
        <v>97</v>
      </c>
      <c r="M255" s="1" t="s">
        <v>42</v>
      </c>
      <c r="P255" s="1">
        <v>0.0</v>
      </c>
      <c r="Q255" s="1">
        <v>0.0</v>
      </c>
      <c r="R255" s="1" t="s">
        <v>44</v>
      </c>
      <c r="S255" s="1" t="s">
        <v>45</v>
      </c>
      <c r="U255" s="1" t="s">
        <v>36</v>
      </c>
      <c r="V255" s="1">
        <v>0.0</v>
      </c>
      <c r="W255" s="1">
        <v>10.0</v>
      </c>
      <c r="X255" s="1">
        <v>10.0</v>
      </c>
      <c r="Y255" s="1" t="s">
        <v>56</v>
      </c>
      <c r="AA255" s="1" t="s">
        <v>38</v>
      </c>
      <c r="AB255" s="1">
        <v>0.0</v>
      </c>
      <c r="AC255" s="1">
        <v>0.0</v>
      </c>
      <c r="AD255" s="1">
        <v>0.0</v>
      </c>
      <c r="AE255" s="6">
        <v>0.3645833333333333</v>
      </c>
      <c r="AF255" s="1" t="s">
        <v>39</v>
      </c>
    </row>
    <row r="256">
      <c r="B256" s="2">
        <v>46181.0</v>
      </c>
      <c r="C256" s="3">
        <v>0.625</v>
      </c>
      <c r="D256" s="3">
        <v>0.6458333333333334</v>
      </c>
      <c r="E256" s="3">
        <v>0.625</v>
      </c>
      <c r="F256" s="3">
        <v>0.6375</v>
      </c>
      <c r="G256" s="1">
        <v>2.08589766444E11</v>
      </c>
      <c r="H256" s="1" t="s">
        <v>313</v>
      </c>
      <c r="J256" s="1" t="s">
        <v>32</v>
      </c>
      <c r="K256" s="4">
        <f>+523313219330</f>
        <v>523313219330</v>
      </c>
      <c r="L256" s="1" t="s">
        <v>66</v>
      </c>
      <c r="M256" s="1" t="s">
        <v>34</v>
      </c>
      <c r="N256" s="1" t="s">
        <v>67</v>
      </c>
      <c r="P256" s="5">
        <v>0.0</v>
      </c>
      <c r="Q256" s="1">
        <v>0.0</v>
      </c>
      <c r="R256" s="1" t="s">
        <v>45</v>
      </c>
      <c r="S256" s="1" t="s">
        <v>45</v>
      </c>
      <c r="T256" s="1" t="s">
        <v>314</v>
      </c>
      <c r="U256" s="1" t="s">
        <v>55</v>
      </c>
      <c r="V256" s="1">
        <v>0.0</v>
      </c>
      <c r="W256" s="1">
        <v>18.0</v>
      </c>
      <c r="X256" s="1">
        <v>18.0</v>
      </c>
      <c r="Y256" s="1" t="s">
        <v>50</v>
      </c>
      <c r="AA256" s="1" t="s">
        <v>38</v>
      </c>
      <c r="AB256" s="1">
        <v>0.0</v>
      </c>
      <c r="AC256" s="1">
        <v>0.0</v>
      </c>
      <c r="AD256" s="1">
        <v>0.0</v>
      </c>
      <c r="AE256" s="6">
        <v>0.625</v>
      </c>
      <c r="AF256" s="1" t="s">
        <v>39</v>
      </c>
    </row>
    <row r="257">
      <c r="B257" s="2">
        <v>46181.0</v>
      </c>
      <c r="C257" s="3">
        <v>0.3333333333333333</v>
      </c>
      <c r="D257" s="3">
        <v>0.375</v>
      </c>
      <c r="E257" s="3">
        <v>0.4375</v>
      </c>
      <c r="F257" s="3">
        <v>0.4986111111111111</v>
      </c>
      <c r="G257" s="1">
        <v>2.08377036386E11</v>
      </c>
      <c r="H257" s="1" t="s">
        <v>161</v>
      </c>
      <c r="J257" s="1" t="s">
        <v>32</v>
      </c>
      <c r="K257" s="4">
        <f>+523326153847</f>
        <v>523326153847</v>
      </c>
      <c r="L257" s="1" t="s">
        <v>241</v>
      </c>
      <c r="M257" s="1" t="s">
        <v>34</v>
      </c>
      <c r="N257" s="1" t="s">
        <v>67</v>
      </c>
      <c r="P257" s="5">
        <v>0.0</v>
      </c>
      <c r="Q257" s="1">
        <v>0.0</v>
      </c>
      <c r="R257" s="1" t="s">
        <v>70</v>
      </c>
      <c r="S257" s="1" t="s">
        <v>70</v>
      </c>
      <c r="U257" s="1" t="s">
        <v>55</v>
      </c>
      <c r="V257" s="1">
        <v>51.0</v>
      </c>
      <c r="W257" s="1">
        <v>37.0</v>
      </c>
      <c r="X257" s="1">
        <v>88.0</v>
      </c>
      <c r="Y257" s="1" t="s">
        <v>50</v>
      </c>
      <c r="AA257" s="1" t="s">
        <v>38</v>
      </c>
      <c r="AB257" s="1">
        <v>0.0</v>
      </c>
      <c r="AC257" s="1">
        <v>0.0</v>
      </c>
      <c r="AD257" s="1">
        <v>0.0</v>
      </c>
      <c r="AE257" s="6">
        <v>0.47291666666666665</v>
      </c>
      <c r="AF257" s="1" t="s">
        <v>39</v>
      </c>
    </row>
    <row r="258">
      <c r="B258" s="2">
        <v>46181.0</v>
      </c>
      <c r="C258" s="3">
        <v>0.5833333333333334</v>
      </c>
      <c r="D258" s="3">
        <v>0.6041666666666666</v>
      </c>
      <c r="E258" s="3">
        <v>0.5833333333333334</v>
      </c>
      <c r="F258" s="3">
        <v>0.6027777777777777</v>
      </c>
      <c r="G258" s="1">
        <v>1.68803840387E11</v>
      </c>
      <c r="H258" s="1" t="s">
        <v>410</v>
      </c>
      <c r="J258" s="1" t="s">
        <v>32</v>
      </c>
      <c r="K258" s="4">
        <f>+528118215257</f>
        <v>528118215257</v>
      </c>
      <c r="L258" s="1" t="s">
        <v>121</v>
      </c>
      <c r="M258" s="1" t="s">
        <v>59</v>
      </c>
      <c r="N258" s="1" t="s">
        <v>67</v>
      </c>
      <c r="P258" s="5">
        <v>0.0</v>
      </c>
      <c r="R258" s="1" t="s">
        <v>45</v>
      </c>
      <c r="S258" s="1" t="s">
        <v>45</v>
      </c>
      <c r="U258" s="1" t="s">
        <v>36</v>
      </c>
      <c r="V258" s="1">
        <v>0.0</v>
      </c>
      <c r="W258" s="1">
        <v>28.0</v>
      </c>
      <c r="X258" s="1">
        <v>28.0</v>
      </c>
      <c r="Y258" s="1" t="s">
        <v>50</v>
      </c>
      <c r="AA258" s="1" t="s">
        <v>38</v>
      </c>
      <c r="AB258" s="1">
        <v>0.0</v>
      </c>
      <c r="AC258" s="1">
        <v>0.0</v>
      </c>
      <c r="AD258" s="1">
        <v>0.0</v>
      </c>
      <c r="AE258" s="6">
        <v>0.5833333333333334</v>
      </c>
      <c r="AF258" s="1" t="s">
        <v>39</v>
      </c>
    </row>
    <row r="259">
      <c r="B259" s="2">
        <v>46181.0</v>
      </c>
      <c r="C259" s="3">
        <v>0.6666666666666666</v>
      </c>
      <c r="D259" s="3">
        <v>0.6875</v>
      </c>
      <c r="E259" s="3">
        <v>0.6666666666666666</v>
      </c>
      <c r="F259" s="3">
        <v>0.6819444444444445</v>
      </c>
      <c r="G259" s="1">
        <v>2.0984986002E11</v>
      </c>
      <c r="H259" s="1" t="s">
        <v>180</v>
      </c>
      <c r="J259" s="1" t="s">
        <v>32</v>
      </c>
      <c r="K259" s="4" t="str">
        <f>+52 33 3167 0108</f>
        <v>#ERROR!</v>
      </c>
      <c r="L259" s="1" t="s">
        <v>66</v>
      </c>
      <c r="M259" s="1" t="s">
        <v>34</v>
      </c>
      <c r="N259" s="1" t="s">
        <v>68</v>
      </c>
      <c r="P259" s="5">
        <v>0.0</v>
      </c>
      <c r="Q259" s="1">
        <v>0.0</v>
      </c>
      <c r="R259" s="1" t="s">
        <v>45</v>
      </c>
      <c r="S259" s="1" t="s">
        <v>45</v>
      </c>
      <c r="U259" s="1" t="s">
        <v>36</v>
      </c>
      <c r="V259" s="1">
        <v>0.0</v>
      </c>
      <c r="W259" s="1">
        <v>22.0</v>
      </c>
      <c r="X259" s="1">
        <v>22.0</v>
      </c>
      <c r="Y259" s="1" t="s">
        <v>50</v>
      </c>
      <c r="AA259" s="1" t="s">
        <v>38</v>
      </c>
      <c r="AB259" s="1">
        <v>0.0</v>
      </c>
      <c r="AC259" s="1">
        <v>0.0</v>
      </c>
      <c r="AD259" s="1">
        <v>0.0</v>
      </c>
      <c r="AE259" s="6">
        <v>0.6666666666666666</v>
      </c>
      <c r="AF259" s="1" t="s">
        <v>39</v>
      </c>
    </row>
    <row r="260">
      <c r="B260" s="2">
        <v>46181.0</v>
      </c>
      <c r="C260" s="3">
        <v>0.375</v>
      </c>
      <c r="D260" s="3">
        <v>0.3958333333333333</v>
      </c>
      <c r="E260" s="3">
        <v>0.375</v>
      </c>
      <c r="F260" s="3">
        <v>0.4152777777777778</v>
      </c>
      <c r="G260" s="1">
        <v>2.02433407092E11</v>
      </c>
      <c r="H260" s="1" t="s">
        <v>411</v>
      </c>
      <c r="J260" s="1" t="s">
        <v>32</v>
      </c>
      <c r="K260" s="4">
        <f t="shared" ref="K260:K261" si="9">+523313403443</f>
        <v>523313403443</v>
      </c>
      <c r="L260" s="1" t="s">
        <v>412</v>
      </c>
      <c r="M260" s="1" t="s">
        <v>42</v>
      </c>
      <c r="P260" s="5">
        <v>0.0</v>
      </c>
      <c r="R260" s="1" t="s">
        <v>53</v>
      </c>
      <c r="S260" s="1" t="s">
        <v>62</v>
      </c>
      <c r="U260" s="1" t="s">
        <v>36</v>
      </c>
      <c r="V260" s="1">
        <v>-21.0</v>
      </c>
      <c r="W260" s="1">
        <v>79.0</v>
      </c>
      <c r="X260" s="1">
        <v>58.0</v>
      </c>
      <c r="Y260" s="1" t="s">
        <v>413</v>
      </c>
      <c r="AA260" s="1" t="s">
        <v>38</v>
      </c>
      <c r="AB260" s="1">
        <v>0.0</v>
      </c>
      <c r="AC260" s="1">
        <v>0.0</v>
      </c>
      <c r="AD260" s="1">
        <v>0.0</v>
      </c>
      <c r="AE260" s="6">
        <v>0.36041666666666666</v>
      </c>
      <c r="AF260" s="1" t="s">
        <v>39</v>
      </c>
    </row>
    <row r="261">
      <c r="B261" s="2">
        <v>46181.0</v>
      </c>
      <c r="C261" s="3">
        <v>0.375</v>
      </c>
      <c r="D261" s="3">
        <v>0.3958333333333333</v>
      </c>
      <c r="E261" s="3">
        <v>0.375</v>
      </c>
      <c r="F261" s="3">
        <v>0.4152777777777778</v>
      </c>
      <c r="G261" s="1">
        <v>2.02433407092E11</v>
      </c>
      <c r="H261" s="1" t="s">
        <v>411</v>
      </c>
      <c r="J261" s="1" t="s">
        <v>32</v>
      </c>
      <c r="K261" s="4">
        <f t="shared" si="9"/>
        <v>523313403443</v>
      </c>
      <c r="L261" s="1" t="s">
        <v>90</v>
      </c>
      <c r="M261" s="1" t="s">
        <v>87</v>
      </c>
      <c r="P261" s="1">
        <v>0.0</v>
      </c>
      <c r="R261" s="1" t="s">
        <v>62</v>
      </c>
      <c r="S261" s="1" t="s">
        <v>62</v>
      </c>
      <c r="U261" s="1" t="s">
        <v>36</v>
      </c>
      <c r="V261" s="1">
        <v>-20.0</v>
      </c>
      <c r="W261" s="1">
        <v>78.0</v>
      </c>
      <c r="X261" s="1">
        <v>58.0</v>
      </c>
      <c r="Y261" s="1" t="s">
        <v>413</v>
      </c>
      <c r="AA261" s="1" t="s">
        <v>38</v>
      </c>
      <c r="AB261" s="1">
        <v>0.0</v>
      </c>
      <c r="AC261" s="1">
        <v>0.0</v>
      </c>
      <c r="AD261" s="1">
        <v>0.0</v>
      </c>
      <c r="AE261" s="6">
        <v>0.3611111111111111</v>
      </c>
      <c r="AF261" s="1" t="s">
        <v>39</v>
      </c>
    </row>
    <row r="262">
      <c r="B262" s="2">
        <v>46181.0</v>
      </c>
      <c r="C262" s="3">
        <v>0.4166666666666667</v>
      </c>
      <c r="D262" s="3">
        <v>0.4583333333333333</v>
      </c>
      <c r="E262" s="3">
        <v>0.4166666666666667</v>
      </c>
      <c r="F262" s="3">
        <v>0.5201388888888889</v>
      </c>
      <c r="G262" s="1">
        <v>2.26691694635E11</v>
      </c>
      <c r="H262" s="1" t="s">
        <v>248</v>
      </c>
      <c r="J262" s="1" t="s">
        <v>32</v>
      </c>
      <c r="K262" s="4">
        <f>+523337221977</f>
        <v>523337221977</v>
      </c>
      <c r="L262" s="1" t="s">
        <v>105</v>
      </c>
      <c r="M262" s="1" t="s">
        <v>48</v>
      </c>
      <c r="N262" s="1" t="s">
        <v>414</v>
      </c>
      <c r="P262" s="1">
        <v>0.0</v>
      </c>
      <c r="Q262" s="1">
        <v>0.0</v>
      </c>
      <c r="R262" s="1" t="s">
        <v>45</v>
      </c>
      <c r="S262" s="1" t="s">
        <v>45</v>
      </c>
      <c r="U262" s="1" t="s">
        <v>36</v>
      </c>
      <c r="V262" s="1">
        <v>24.0</v>
      </c>
      <c r="W262" s="1">
        <v>125.0</v>
      </c>
      <c r="X262" s="1">
        <v>149.0</v>
      </c>
      <c r="Y262" s="1" t="s">
        <v>50</v>
      </c>
      <c r="AA262" s="1" t="s">
        <v>38</v>
      </c>
      <c r="AB262" s="1">
        <v>0.0</v>
      </c>
      <c r="AC262" s="1">
        <v>0.0</v>
      </c>
      <c r="AD262" s="1">
        <v>0.0</v>
      </c>
      <c r="AE262" s="6">
        <v>0.43333333333333335</v>
      </c>
      <c r="AF262" s="1" t="s">
        <v>39</v>
      </c>
    </row>
    <row r="263">
      <c r="B263" s="2">
        <v>46181.0</v>
      </c>
      <c r="C263" s="3">
        <v>0.75</v>
      </c>
      <c r="D263" s="3">
        <v>0.7708333333333334</v>
      </c>
      <c r="E263" s="3">
        <v>0.75</v>
      </c>
      <c r="F263" s="3">
        <v>0.7722222222222223</v>
      </c>
      <c r="H263" s="1" t="s">
        <v>415</v>
      </c>
      <c r="J263" s="1" t="s">
        <v>32</v>
      </c>
      <c r="K263" s="1">
        <v>1.11111111E8</v>
      </c>
      <c r="L263" s="1" t="s">
        <v>131</v>
      </c>
      <c r="M263" s="1" t="s">
        <v>34</v>
      </c>
      <c r="P263" s="5">
        <v>0.0</v>
      </c>
      <c r="R263" s="1" t="s">
        <v>35</v>
      </c>
      <c r="V263" s="1">
        <v>0.0</v>
      </c>
      <c r="W263" s="1">
        <v>32.0</v>
      </c>
      <c r="X263" s="1">
        <v>32.0</v>
      </c>
      <c r="Y263" s="1" t="s">
        <v>416</v>
      </c>
      <c r="AB263" s="1">
        <v>0.0</v>
      </c>
      <c r="AC263" s="1">
        <v>0.0</v>
      </c>
      <c r="AD263" s="1">
        <v>0.0</v>
      </c>
      <c r="AE263" s="6">
        <v>0.75</v>
      </c>
      <c r="AF263" s="1" t="s">
        <v>39</v>
      </c>
    </row>
    <row r="264">
      <c r="B264" s="2">
        <v>46181.0</v>
      </c>
      <c r="C264" s="3">
        <v>0.4583333333333333</v>
      </c>
      <c r="D264" s="3">
        <v>0.4791666666666667</v>
      </c>
      <c r="E264" s="3">
        <v>0.4583333333333333</v>
      </c>
      <c r="F264" s="3">
        <v>0.46875</v>
      </c>
      <c r="H264" s="1" t="s">
        <v>417</v>
      </c>
      <c r="J264" s="1" t="s">
        <v>32</v>
      </c>
      <c r="K264" s="4" t="str">
        <f>+52 374 182 8158</f>
        <v>#ERROR!</v>
      </c>
      <c r="L264" s="1" t="s">
        <v>86</v>
      </c>
      <c r="M264" s="1" t="s">
        <v>87</v>
      </c>
      <c r="N264" s="1" t="s">
        <v>418</v>
      </c>
      <c r="P264" s="5">
        <v>14000.0</v>
      </c>
      <c r="Q264" s="1">
        <v>0.0</v>
      </c>
      <c r="R264" s="1" t="s">
        <v>53</v>
      </c>
      <c r="S264" s="1" t="s">
        <v>54</v>
      </c>
      <c r="U264" s="1" t="s">
        <v>55</v>
      </c>
      <c r="V264" s="1">
        <v>0.0</v>
      </c>
      <c r="W264" s="1">
        <v>15.0</v>
      </c>
      <c r="X264" s="1">
        <v>15.0</v>
      </c>
      <c r="Y264" s="1" t="s">
        <v>78</v>
      </c>
      <c r="AA264" s="1" t="s">
        <v>38</v>
      </c>
      <c r="AB264" s="1">
        <v>0.0</v>
      </c>
      <c r="AC264" s="1">
        <v>0.0</v>
      </c>
      <c r="AD264" s="1">
        <v>0.0</v>
      </c>
      <c r="AE264" s="6">
        <v>0.4583333333333333</v>
      </c>
      <c r="AF264" s="1" t="s">
        <v>39</v>
      </c>
    </row>
    <row r="265">
      <c r="B265" s="2">
        <v>46181.0</v>
      </c>
      <c r="C265" s="3">
        <v>0.7083333333333334</v>
      </c>
      <c r="D265" s="3">
        <v>0.71875</v>
      </c>
      <c r="E265" s="3">
        <v>0.7083333333333334</v>
      </c>
      <c r="F265" s="3">
        <v>0.7395833333333334</v>
      </c>
      <c r="G265" s="1">
        <v>2.21199535154E11</v>
      </c>
      <c r="H265" s="1" t="s">
        <v>419</v>
      </c>
      <c r="J265" s="1" t="s">
        <v>32</v>
      </c>
      <c r="K265" s="4">
        <f>+5213313106647</f>
        <v>5213313106647</v>
      </c>
      <c r="L265" s="1" t="s">
        <v>33</v>
      </c>
      <c r="M265" s="1" t="s">
        <v>34</v>
      </c>
      <c r="P265" s="5">
        <v>0.0</v>
      </c>
      <c r="R265" s="1" t="s">
        <v>35</v>
      </c>
      <c r="S265" s="1" t="s">
        <v>35</v>
      </c>
      <c r="U265" s="1" t="s">
        <v>36</v>
      </c>
      <c r="V265" s="1">
        <v>0.0</v>
      </c>
      <c r="W265" s="1">
        <v>45.0</v>
      </c>
      <c r="X265" s="1">
        <v>45.0</v>
      </c>
      <c r="Y265" s="1" t="s">
        <v>37</v>
      </c>
      <c r="AA265" s="1" t="s">
        <v>38</v>
      </c>
      <c r="AB265" s="1">
        <v>0.0</v>
      </c>
      <c r="AC265" s="1">
        <v>0.0</v>
      </c>
      <c r="AD265" s="1">
        <v>0.0</v>
      </c>
      <c r="AE265" s="6">
        <v>0.7083333333333334</v>
      </c>
      <c r="AF265" s="1" t="s">
        <v>39</v>
      </c>
    </row>
    <row r="266">
      <c r="B266" s="2">
        <v>46181.0</v>
      </c>
      <c r="C266" s="3">
        <v>0.6354166666666666</v>
      </c>
      <c r="D266" s="3">
        <v>0.6458333333333334</v>
      </c>
      <c r="E266" s="3">
        <v>0.6354166666666666</v>
      </c>
      <c r="F266" s="3">
        <v>0.6576388888888889</v>
      </c>
      <c r="H266" s="1" t="s">
        <v>420</v>
      </c>
      <c r="J266" s="1" t="s">
        <v>32</v>
      </c>
      <c r="K266" s="1">
        <v>5.613664957E9</v>
      </c>
      <c r="L266" s="1" t="s">
        <v>33</v>
      </c>
      <c r="M266" s="1" t="s">
        <v>34</v>
      </c>
      <c r="P266" s="1">
        <v>0.0</v>
      </c>
      <c r="R266" s="1" t="s">
        <v>35</v>
      </c>
      <c r="S266" s="1" t="s">
        <v>35</v>
      </c>
      <c r="U266" s="1" t="s">
        <v>55</v>
      </c>
      <c r="V266" s="1">
        <v>0.0</v>
      </c>
      <c r="W266" s="1">
        <v>32.0</v>
      </c>
      <c r="X266" s="1">
        <v>32.0</v>
      </c>
      <c r="Y266" s="1" t="s">
        <v>37</v>
      </c>
      <c r="AA266" s="1" t="s">
        <v>38</v>
      </c>
      <c r="AB266" s="1">
        <v>0.0</v>
      </c>
      <c r="AC266" s="1">
        <v>0.0</v>
      </c>
      <c r="AD266" s="1">
        <v>0.0</v>
      </c>
      <c r="AE266" s="6">
        <v>0.6354166666666666</v>
      </c>
      <c r="AF266" s="1" t="s">
        <v>39</v>
      </c>
    </row>
    <row r="267">
      <c r="B267" s="2">
        <v>46181.0</v>
      </c>
      <c r="C267" s="3">
        <v>0.5</v>
      </c>
      <c r="D267" s="3">
        <v>0.5208333333333334</v>
      </c>
      <c r="E267" s="3">
        <v>0.5</v>
      </c>
      <c r="F267" s="3">
        <v>0.525</v>
      </c>
      <c r="G267" s="1">
        <v>2.18091693922E11</v>
      </c>
      <c r="H267" s="1" t="s">
        <v>421</v>
      </c>
      <c r="J267" s="1" t="s">
        <v>32</v>
      </c>
      <c r="K267" s="4">
        <f>+523481310209</f>
        <v>523481310209</v>
      </c>
      <c r="L267" s="1" t="s">
        <v>121</v>
      </c>
      <c r="M267" s="1" t="s">
        <v>59</v>
      </c>
      <c r="N267" s="1" t="s">
        <v>67</v>
      </c>
      <c r="P267" s="1">
        <v>0.0</v>
      </c>
      <c r="R267" s="1" t="s">
        <v>54</v>
      </c>
      <c r="S267" s="1" t="s">
        <v>54</v>
      </c>
      <c r="U267" s="1" t="s">
        <v>36</v>
      </c>
      <c r="V267" s="1">
        <v>0.0</v>
      </c>
      <c r="W267" s="1">
        <v>36.0</v>
      </c>
      <c r="X267" s="1">
        <v>36.0</v>
      </c>
      <c r="Y267" s="1" t="s">
        <v>50</v>
      </c>
      <c r="AA267" s="1" t="s">
        <v>38</v>
      </c>
      <c r="AB267" s="1">
        <v>0.0</v>
      </c>
      <c r="AC267" s="1">
        <v>0.0</v>
      </c>
      <c r="AD267" s="1">
        <v>0.0</v>
      </c>
      <c r="AE267" s="6">
        <v>0.5</v>
      </c>
      <c r="AF267" s="1" t="s">
        <v>39</v>
      </c>
    </row>
    <row r="268">
      <c r="B268" s="2">
        <v>46181.0</v>
      </c>
      <c r="C268" s="3">
        <v>0.5</v>
      </c>
      <c r="D268" s="3">
        <v>0.5416666666666666</v>
      </c>
      <c r="E268" s="3">
        <v>0.5</v>
      </c>
      <c r="F268" s="3">
        <v>0.5791666666666667</v>
      </c>
      <c r="G268" s="1">
        <v>2.22148074838E11</v>
      </c>
      <c r="H268" s="1" t="s">
        <v>422</v>
      </c>
      <c r="J268" s="1" t="s">
        <v>32</v>
      </c>
      <c r="K268" s="4">
        <f>+15108574034</f>
        <v>15108574034</v>
      </c>
      <c r="L268" s="1" t="s">
        <v>105</v>
      </c>
      <c r="M268" s="1" t="s">
        <v>48</v>
      </c>
      <c r="N268" s="1" t="s">
        <v>423</v>
      </c>
      <c r="P268" s="1">
        <v>0.0</v>
      </c>
      <c r="R268" s="1" t="s">
        <v>45</v>
      </c>
      <c r="S268" s="1" t="s">
        <v>45</v>
      </c>
      <c r="U268" s="1" t="s">
        <v>36</v>
      </c>
      <c r="V268" s="1">
        <v>33.0</v>
      </c>
      <c r="W268" s="1">
        <v>81.0</v>
      </c>
      <c r="X268" s="1">
        <v>114.0</v>
      </c>
      <c r="Y268" s="1" t="s">
        <v>50</v>
      </c>
      <c r="AA268" s="1" t="s">
        <v>64</v>
      </c>
      <c r="AB268" s="1">
        <v>0.0</v>
      </c>
      <c r="AC268" s="1">
        <v>0.0</v>
      </c>
      <c r="AD268" s="1">
        <v>0.0</v>
      </c>
      <c r="AE268" s="6">
        <v>0.5229166666666667</v>
      </c>
      <c r="AF268" s="1" t="s">
        <v>39</v>
      </c>
    </row>
    <row r="269">
      <c r="B269" s="2">
        <v>46179.0</v>
      </c>
      <c r="C269" s="3">
        <v>0.5034722222222222</v>
      </c>
      <c r="D269" s="3">
        <v>0.5104166666666666</v>
      </c>
      <c r="E269" s="3">
        <v>0.5034722222222222</v>
      </c>
      <c r="F269" s="3">
        <v>0.5208333333333334</v>
      </c>
      <c r="G269" s="1">
        <v>2.02433407092E11</v>
      </c>
      <c r="H269" s="1" t="s">
        <v>411</v>
      </c>
      <c r="J269" s="1" t="s">
        <v>32</v>
      </c>
      <c r="K269" s="4">
        <f>+523313403443</f>
        <v>523313403443</v>
      </c>
      <c r="L269" s="1" t="s">
        <v>41</v>
      </c>
      <c r="M269" s="1" t="s">
        <v>42</v>
      </c>
      <c r="P269" s="5">
        <v>0.0</v>
      </c>
      <c r="R269" s="1" t="s">
        <v>44</v>
      </c>
      <c r="S269" s="1" t="s">
        <v>62</v>
      </c>
      <c r="U269" s="1" t="s">
        <v>36</v>
      </c>
      <c r="V269" s="1">
        <v>0.0</v>
      </c>
      <c r="W269" s="1">
        <v>25.0</v>
      </c>
      <c r="X269" s="1">
        <v>25.0</v>
      </c>
      <c r="Y269" s="1" t="s">
        <v>63</v>
      </c>
      <c r="AA269" s="1" t="s">
        <v>38</v>
      </c>
      <c r="AB269" s="1">
        <v>0.0</v>
      </c>
      <c r="AC269" s="1">
        <v>0.0</v>
      </c>
      <c r="AD269" s="1">
        <v>0.0</v>
      </c>
      <c r="AE269" s="6">
        <v>0.5034722222222222</v>
      </c>
      <c r="AF269" s="1" t="s">
        <v>39</v>
      </c>
    </row>
    <row r="270">
      <c r="B270" s="2">
        <v>46179.0</v>
      </c>
      <c r="C270" s="3">
        <v>0.4166666666666667</v>
      </c>
      <c r="D270" s="3">
        <v>0.4583333333333333</v>
      </c>
      <c r="E270" s="3">
        <v>0.4166666666666667</v>
      </c>
      <c r="F270" s="3">
        <v>0.43194444444444446</v>
      </c>
      <c r="G270" s="1">
        <v>2.2565350402E11</v>
      </c>
      <c r="H270" s="1" t="s">
        <v>388</v>
      </c>
      <c r="J270" s="1" t="s">
        <v>32</v>
      </c>
      <c r="K270" s="4" t="str">
        <f>+1 714 910 6427</f>
        <v>#ERROR!</v>
      </c>
      <c r="L270" s="1" t="s">
        <v>289</v>
      </c>
      <c r="M270" s="1" t="s">
        <v>48</v>
      </c>
      <c r="N270" s="1" t="s">
        <v>424</v>
      </c>
      <c r="P270" s="1">
        <v>0.0</v>
      </c>
      <c r="R270" s="1" t="s">
        <v>35</v>
      </c>
      <c r="S270" s="1" t="s">
        <v>35</v>
      </c>
      <c r="U270" s="1" t="s">
        <v>36</v>
      </c>
      <c r="V270" s="1">
        <v>0.0</v>
      </c>
      <c r="W270" s="1">
        <v>22.0</v>
      </c>
      <c r="X270" s="1">
        <v>22.0</v>
      </c>
      <c r="Y270" s="1" t="s">
        <v>50</v>
      </c>
      <c r="AA270" s="1" t="s">
        <v>38</v>
      </c>
      <c r="AB270" s="1">
        <v>0.0</v>
      </c>
      <c r="AC270" s="1">
        <v>0.0</v>
      </c>
      <c r="AD270" s="1">
        <v>0.0</v>
      </c>
      <c r="AE270" s="6">
        <v>0.4166666666666667</v>
      </c>
      <c r="AF270" s="1" t="s">
        <v>39</v>
      </c>
    </row>
    <row r="271">
      <c r="B271" s="2">
        <v>46179.0</v>
      </c>
      <c r="C271" s="3">
        <v>0.5</v>
      </c>
      <c r="D271" s="3">
        <v>0.5208333333333334</v>
      </c>
      <c r="E271" s="3">
        <v>0.5</v>
      </c>
      <c r="F271" s="3">
        <v>0.5208333333333334</v>
      </c>
      <c r="G271" s="1">
        <v>2.02433407092E11</v>
      </c>
      <c r="H271" s="1" t="s">
        <v>411</v>
      </c>
      <c r="J271" s="1" t="s">
        <v>32</v>
      </c>
      <c r="K271" s="4">
        <f>+523313403443</f>
        <v>523313403443</v>
      </c>
      <c r="L271" s="1" t="s">
        <v>66</v>
      </c>
      <c r="M271" s="1" t="s">
        <v>34</v>
      </c>
      <c r="N271" s="1" t="s">
        <v>68</v>
      </c>
      <c r="P271" s="1">
        <v>0.0</v>
      </c>
      <c r="R271" s="1" t="s">
        <v>62</v>
      </c>
      <c r="S271" s="1" t="s">
        <v>62</v>
      </c>
      <c r="U271" s="1" t="s">
        <v>36</v>
      </c>
      <c r="V271" s="1">
        <v>0.0</v>
      </c>
      <c r="W271" s="1">
        <v>30.0</v>
      </c>
      <c r="X271" s="1">
        <v>30.0</v>
      </c>
      <c r="Y271" s="1" t="s">
        <v>50</v>
      </c>
      <c r="AA271" s="1" t="s">
        <v>38</v>
      </c>
      <c r="AB271" s="1">
        <v>0.0</v>
      </c>
      <c r="AC271" s="1">
        <v>0.0</v>
      </c>
      <c r="AD271" s="1">
        <v>0.0</v>
      </c>
      <c r="AE271" s="6">
        <v>0.5</v>
      </c>
      <c r="AF271" s="1" t="s">
        <v>39</v>
      </c>
    </row>
    <row r="272">
      <c r="B272" s="2">
        <v>46179.0</v>
      </c>
      <c r="C272" s="3">
        <v>0.375</v>
      </c>
      <c r="D272" s="3">
        <v>0.4166666666666667</v>
      </c>
      <c r="E272" s="3">
        <v>0.375</v>
      </c>
      <c r="F272" s="3">
        <v>0.39375</v>
      </c>
      <c r="H272" s="1" t="s">
        <v>386</v>
      </c>
      <c r="J272" s="1" t="s">
        <v>32</v>
      </c>
      <c r="K272" s="1">
        <v>3.32559752E9</v>
      </c>
      <c r="L272" s="1" t="s">
        <v>205</v>
      </c>
      <c r="M272" s="1" t="s">
        <v>48</v>
      </c>
      <c r="N272" s="1" t="s">
        <v>425</v>
      </c>
      <c r="P272" s="1">
        <v>0.0</v>
      </c>
      <c r="Q272" s="1">
        <v>0.0</v>
      </c>
      <c r="R272" s="1" t="s">
        <v>35</v>
      </c>
      <c r="S272" s="1" t="s">
        <v>35</v>
      </c>
      <c r="U272" s="1" t="s">
        <v>55</v>
      </c>
      <c r="V272" s="1">
        <v>0.0</v>
      </c>
      <c r="W272" s="1">
        <v>27.0</v>
      </c>
      <c r="X272" s="1">
        <v>27.0</v>
      </c>
      <c r="Y272" s="1" t="s">
        <v>50</v>
      </c>
      <c r="AA272" s="1" t="s">
        <v>38</v>
      </c>
      <c r="AB272" s="1">
        <v>0.0</v>
      </c>
      <c r="AC272" s="1">
        <v>0.0</v>
      </c>
      <c r="AD272" s="1">
        <v>0.0</v>
      </c>
      <c r="AE272" s="6">
        <v>0.375</v>
      </c>
      <c r="AF272" s="1" t="s">
        <v>39</v>
      </c>
    </row>
    <row r="273">
      <c r="B273" s="2">
        <v>46179.0</v>
      </c>
      <c r="C273" s="3">
        <v>0.375</v>
      </c>
      <c r="D273" s="3">
        <v>0.40625</v>
      </c>
      <c r="E273" s="3">
        <v>0.375</v>
      </c>
      <c r="F273" s="3">
        <v>0.38680555555555557</v>
      </c>
      <c r="G273" s="1">
        <v>2.26187976107E11</v>
      </c>
      <c r="H273" s="1" t="s">
        <v>426</v>
      </c>
      <c r="J273" s="1" t="s">
        <v>32</v>
      </c>
      <c r="K273" s="4">
        <f>+523326008530</f>
        <v>523326008530</v>
      </c>
      <c r="L273" s="1" t="s">
        <v>75</v>
      </c>
      <c r="M273" s="1" t="s">
        <v>42</v>
      </c>
      <c r="N273" s="1" t="s">
        <v>67</v>
      </c>
      <c r="P273" s="5">
        <v>0.0</v>
      </c>
      <c r="R273" s="1" t="s">
        <v>53</v>
      </c>
      <c r="S273" s="1" t="s">
        <v>53</v>
      </c>
      <c r="U273" s="1" t="s">
        <v>36</v>
      </c>
      <c r="V273" s="1">
        <v>0.0</v>
      </c>
      <c r="W273" s="1">
        <v>17.0</v>
      </c>
      <c r="X273" s="1">
        <v>17.0</v>
      </c>
      <c r="Y273" s="1" t="s">
        <v>50</v>
      </c>
      <c r="AA273" s="1" t="s">
        <v>38</v>
      </c>
      <c r="AB273" s="1">
        <v>0.0</v>
      </c>
      <c r="AC273" s="1">
        <v>0.0</v>
      </c>
      <c r="AD273" s="1">
        <v>0.0</v>
      </c>
      <c r="AE273" s="6">
        <v>0.375</v>
      </c>
      <c r="AF273" s="1" t="s">
        <v>39</v>
      </c>
    </row>
    <row r="274">
      <c r="B274" s="2">
        <v>46179.0</v>
      </c>
      <c r="C274" s="3">
        <v>0.375</v>
      </c>
      <c r="D274" s="3">
        <v>0.3854166666666667</v>
      </c>
      <c r="E274" s="3">
        <v>0.375</v>
      </c>
      <c r="F274" s="3">
        <v>0.37777777777777777</v>
      </c>
      <c r="H274" s="1" t="s">
        <v>427</v>
      </c>
      <c r="J274" s="1" t="s">
        <v>32</v>
      </c>
      <c r="L274" s="1" t="s">
        <v>97</v>
      </c>
      <c r="M274" s="1" t="s">
        <v>42</v>
      </c>
      <c r="N274" s="1" t="s">
        <v>428</v>
      </c>
      <c r="P274" s="5">
        <v>-30150.0</v>
      </c>
      <c r="R274" s="1" t="s">
        <v>44</v>
      </c>
      <c r="S274" s="1" t="s">
        <v>429</v>
      </c>
      <c r="U274" s="1" t="s">
        <v>36</v>
      </c>
      <c r="V274" s="1">
        <v>0.0</v>
      </c>
      <c r="W274" s="1">
        <v>4.0</v>
      </c>
      <c r="X274" s="1">
        <v>4.0</v>
      </c>
      <c r="Y274" s="1" t="s">
        <v>430</v>
      </c>
      <c r="AA274" s="1" t="s">
        <v>38</v>
      </c>
      <c r="AB274" s="1">
        <v>0.0</v>
      </c>
      <c r="AC274" s="1">
        <v>0.0</v>
      </c>
      <c r="AD274" s="1">
        <v>0.0</v>
      </c>
      <c r="AE274" s="6">
        <v>0.375</v>
      </c>
      <c r="AF274" s="1" t="s">
        <v>39</v>
      </c>
    </row>
    <row r="275">
      <c r="B275" s="2">
        <v>46179.0</v>
      </c>
      <c r="C275" s="3">
        <v>0.5416666666666666</v>
      </c>
      <c r="D275" s="3">
        <v>0.5520833333333334</v>
      </c>
      <c r="E275" s="3">
        <v>0.5416666666666666</v>
      </c>
      <c r="F275" s="3">
        <v>0.5416666666666666</v>
      </c>
      <c r="G275" s="1">
        <v>2.24333402891E11</v>
      </c>
      <c r="H275" s="1" t="s">
        <v>431</v>
      </c>
      <c r="J275" s="1" t="s">
        <v>32</v>
      </c>
      <c r="K275" s="4">
        <f>+523317192662</f>
        <v>523317192662</v>
      </c>
      <c r="L275" s="1" t="s">
        <v>33</v>
      </c>
      <c r="M275" s="1" t="s">
        <v>34</v>
      </c>
      <c r="P275" s="5">
        <v>0.0</v>
      </c>
      <c r="R275" s="1" t="s">
        <v>35</v>
      </c>
      <c r="S275" s="1" t="s">
        <v>35</v>
      </c>
      <c r="U275" s="1" t="s">
        <v>55</v>
      </c>
      <c r="V275" s="1">
        <v>0.0</v>
      </c>
      <c r="W275" s="1">
        <v>0.0</v>
      </c>
      <c r="X275" s="1">
        <v>0.0</v>
      </c>
      <c r="Y275" s="1" t="s">
        <v>37</v>
      </c>
      <c r="AA275" s="1" t="s">
        <v>38</v>
      </c>
      <c r="AB275" s="1">
        <v>0.0</v>
      </c>
      <c r="AC275" s="1">
        <v>0.0</v>
      </c>
      <c r="AD275" s="1">
        <v>0.0</v>
      </c>
      <c r="AE275" s="6">
        <v>0.5416666666666666</v>
      </c>
      <c r="AF275" s="1" t="s">
        <v>39</v>
      </c>
    </row>
    <row r="276">
      <c r="B276" s="2">
        <v>46179.0</v>
      </c>
      <c r="C276" s="3">
        <v>0.5520833333333334</v>
      </c>
      <c r="D276" s="3">
        <v>0.5625</v>
      </c>
      <c r="E276" s="3">
        <v>0.5520833333333334</v>
      </c>
      <c r="F276" s="3">
        <v>0.5423611111111111</v>
      </c>
      <c r="G276" s="1">
        <v>2.05636779349E11</v>
      </c>
      <c r="H276" s="1" t="s">
        <v>31</v>
      </c>
      <c r="J276" s="1" t="s">
        <v>32</v>
      </c>
      <c r="K276" s="4">
        <f>+17622019615</f>
        <v>17622019615</v>
      </c>
      <c r="L276" s="1" t="s">
        <v>33</v>
      </c>
      <c r="M276" s="1" t="s">
        <v>34</v>
      </c>
      <c r="P276" s="1">
        <v>0.0</v>
      </c>
      <c r="R276" s="1" t="s">
        <v>35</v>
      </c>
      <c r="S276" s="1" t="s">
        <v>35</v>
      </c>
      <c r="U276" s="1" t="s">
        <v>36</v>
      </c>
      <c r="V276" s="1">
        <v>0.0</v>
      </c>
      <c r="W276" s="1">
        <v>-14.0</v>
      </c>
      <c r="X276" s="1">
        <v>-14.0</v>
      </c>
      <c r="Y276" s="1" t="s">
        <v>37</v>
      </c>
      <c r="AA276" s="1" t="s">
        <v>38</v>
      </c>
      <c r="AB276" s="1">
        <v>0.0</v>
      </c>
      <c r="AC276" s="1">
        <v>0.0</v>
      </c>
      <c r="AD276" s="1">
        <v>0.0</v>
      </c>
      <c r="AE276" s="6">
        <v>0.5520833333333334</v>
      </c>
      <c r="AF276" s="1" t="s">
        <v>39</v>
      </c>
    </row>
    <row r="277">
      <c r="B277" s="2">
        <v>46179.0</v>
      </c>
      <c r="C277" s="3">
        <v>0.4375</v>
      </c>
      <c r="D277" s="3">
        <v>0.4583333333333333</v>
      </c>
      <c r="E277" s="3">
        <v>0.4375</v>
      </c>
      <c r="F277" s="3">
        <v>0.43194444444444446</v>
      </c>
      <c r="G277" s="1">
        <v>1.2557117853E11</v>
      </c>
      <c r="H277" s="1" t="s">
        <v>240</v>
      </c>
      <c r="J277" s="1" t="s">
        <v>32</v>
      </c>
      <c r="K277" s="4">
        <f>+5213311595445</f>
        <v>5213311595445</v>
      </c>
      <c r="L277" s="1" t="s">
        <v>66</v>
      </c>
      <c r="M277" s="1" t="s">
        <v>34</v>
      </c>
      <c r="N277" s="1" t="s">
        <v>67</v>
      </c>
      <c r="P277" s="5">
        <v>4995.0</v>
      </c>
      <c r="R277" s="1" t="s">
        <v>62</v>
      </c>
      <c r="S277" s="1" t="s">
        <v>62</v>
      </c>
      <c r="U277" s="1" t="s">
        <v>36</v>
      </c>
      <c r="V277" s="1">
        <v>0.0</v>
      </c>
      <c r="W277" s="1">
        <v>-8.0</v>
      </c>
      <c r="X277" s="1">
        <v>-8.0</v>
      </c>
      <c r="Y277" s="1" t="s">
        <v>50</v>
      </c>
      <c r="AA277" s="1" t="s">
        <v>38</v>
      </c>
      <c r="AB277" s="1">
        <v>0.0</v>
      </c>
      <c r="AC277" s="1">
        <v>0.0</v>
      </c>
      <c r="AD277" s="1">
        <v>0.0</v>
      </c>
      <c r="AE277" s="6">
        <v>0.4375</v>
      </c>
      <c r="AF277" s="1" t="s">
        <v>39</v>
      </c>
    </row>
    <row r="278">
      <c r="B278" s="2">
        <v>46179.0</v>
      </c>
      <c r="C278" s="3">
        <v>0.3333333333333333</v>
      </c>
      <c r="D278" s="3">
        <v>0.3645833333333333</v>
      </c>
      <c r="E278" s="3">
        <v>0.3333333333333333</v>
      </c>
      <c r="F278" s="3">
        <v>0.35138888888888886</v>
      </c>
      <c r="G278" s="1">
        <v>2.25602026272E11</v>
      </c>
      <c r="H278" s="1" t="s">
        <v>432</v>
      </c>
      <c r="J278" s="1" t="s">
        <v>32</v>
      </c>
      <c r="K278" s="4">
        <f>+523331836962</f>
        <v>523331836962</v>
      </c>
      <c r="L278" s="1" t="s">
        <v>75</v>
      </c>
      <c r="M278" s="1" t="s">
        <v>42</v>
      </c>
      <c r="N278" s="1" t="s">
        <v>67</v>
      </c>
      <c r="P278" s="1">
        <v>0.0</v>
      </c>
      <c r="R278" s="1" t="s">
        <v>53</v>
      </c>
      <c r="S278" s="1" t="s">
        <v>53</v>
      </c>
      <c r="U278" s="1" t="s">
        <v>36</v>
      </c>
      <c r="V278" s="1">
        <v>0.0</v>
      </c>
      <c r="W278" s="1">
        <v>26.0</v>
      </c>
      <c r="X278" s="1">
        <v>26.0</v>
      </c>
      <c r="Y278" s="1" t="s">
        <v>50</v>
      </c>
      <c r="AA278" s="1" t="s">
        <v>38</v>
      </c>
      <c r="AB278" s="1">
        <v>0.0</v>
      </c>
      <c r="AC278" s="1">
        <v>0.0</v>
      </c>
      <c r="AD278" s="1">
        <v>0.0</v>
      </c>
      <c r="AE278" s="6">
        <v>0.3333333333333333</v>
      </c>
      <c r="AF278" s="1" t="s">
        <v>39</v>
      </c>
    </row>
    <row r="279">
      <c r="B279" s="2">
        <v>46179.0</v>
      </c>
      <c r="C279" s="3">
        <v>0.5416666666666666</v>
      </c>
      <c r="D279" s="3">
        <v>0.5625</v>
      </c>
      <c r="E279" s="3">
        <v>0.5416666666666666</v>
      </c>
      <c r="F279" s="3">
        <v>0.5381944444444444</v>
      </c>
      <c r="G279" s="1">
        <v>1.28615761068E11</v>
      </c>
      <c r="H279" s="1" t="s">
        <v>232</v>
      </c>
      <c r="J279" s="1" t="s">
        <v>32</v>
      </c>
      <c r="K279" s="4">
        <f t="shared" ref="K279:K280" si="10">+523335782664</f>
        <v>523335782664</v>
      </c>
      <c r="L279" s="1" t="s">
        <v>86</v>
      </c>
      <c r="M279" s="1" t="s">
        <v>87</v>
      </c>
      <c r="P279" s="1">
        <v>0.0</v>
      </c>
      <c r="Q279" s="1">
        <v>0.0</v>
      </c>
      <c r="R279" s="1" t="s">
        <v>53</v>
      </c>
      <c r="S279" s="1" t="s">
        <v>45</v>
      </c>
      <c r="U279" s="1" t="s">
        <v>55</v>
      </c>
      <c r="V279" s="1">
        <v>0.0</v>
      </c>
      <c r="W279" s="1">
        <v>-5.0</v>
      </c>
      <c r="X279" s="1">
        <v>-5.0</v>
      </c>
      <c r="Y279" s="1" t="s">
        <v>56</v>
      </c>
      <c r="AA279" s="1" t="s">
        <v>38</v>
      </c>
      <c r="AB279" s="1">
        <v>0.0</v>
      </c>
      <c r="AC279" s="1">
        <v>0.0</v>
      </c>
      <c r="AD279" s="1">
        <v>0.0</v>
      </c>
      <c r="AE279" s="6">
        <v>0.5416666666666666</v>
      </c>
      <c r="AF279" s="1" t="s">
        <v>39</v>
      </c>
    </row>
    <row r="280">
      <c r="B280" s="2">
        <v>46179.0</v>
      </c>
      <c r="C280" s="3">
        <v>0.5416666666666666</v>
      </c>
      <c r="D280" s="3">
        <v>0.5625</v>
      </c>
      <c r="E280" s="3">
        <v>0.5416666666666666</v>
      </c>
      <c r="F280" s="3">
        <v>0.5381944444444444</v>
      </c>
      <c r="G280" s="1">
        <v>1.28615761068E11</v>
      </c>
      <c r="H280" s="1" t="s">
        <v>232</v>
      </c>
      <c r="J280" s="1" t="s">
        <v>32</v>
      </c>
      <c r="K280" s="4">
        <f t="shared" si="10"/>
        <v>523335782664</v>
      </c>
      <c r="L280" s="1" t="s">
        <v>86</v>
      </c>
      <c r="M280" s="1" t="s">
        <v>87</v>
      </c>
      <c r="P280" s="1">
        <v>0.0</v>
      </c>
      <c r="Q280" s="1">
        <v>0.0</v>
      </c>
      <c r="R280" s="1" t="s">
        <v>45</v>
      </c>
      <c r="S280" s="1" t="s">
        <v>45</v>
      </c>
      <c r="U280" s="1" t="s">
        <v>55</v>
      </c>
      <c r="V280" s="1">
        <v>0.0</v>
      </c>
      <c r="W280" s="1">
        <v>-5.0</v>
      </c>
      <c r="X280" s="1">
        <v>-5.0</v>
      </c>
      <c r="Y280" s="1" t="s">
        <v>56</v>
      </c>
      <c r="AA280" s="1" t="s">
        <v>38</v>
      </c>
      <c r="AB280" s="1">
        <v>0.0</v>
      </c>
      <c r="AC280" s="1">
        <v>0.0</v>
      </c>
      <c r="AD280" s="1">
        <v>0.0</v>
      </c>
      <c r="AE280" s="6">
        <v>0.5416666666666666</v>
      </c>
      <c r="AF280" s="1" t="s">
        <v>39</v>
      </c>
    </row>
    <row r="281">
      <c r="B281" s="2">
        <v>46179.0</v>
      </c>
      <c r="C281" s="3">
        <v>0.4583333333333333</v>
      </c>
      <c r="D281" s="3">
        <v>0.5</v>
      </c>
      <c r="E281" s="3">
        <v>0.4583333333333333</v>
      </c>
      <c r="F281" s="3">
        <v>0.4673611111111111</v>
      </c>
      <c r="H281" s="1" t="s">
        <v>345</v>
      </c>
      <c r="J281" s="1" t="s">
        <v>32</v>
      </c>
      <c r="K281" s="1">
        <v>3.322308357E9</v>
      </c>
      <c r="L281" s="1" t="s">
        <v>83</v>
      </c>
      <c r="M281" s="1" t="s">
        <v>48</v>
      </c>
      <c r="N281" s="1" t="s">
        <v>433</v>
      </c>
      <c r="P281" s="1">
        <v>0.0</v>
      </c>
      <c r="R281" s="1" t="s">
        <v>35</v>
      </c>
      <c r="S281" s="1" t="s">
        <v>35</v>
      </c>
      <c r="U281" s="1" t="s">
        <v>55</v>
      </c>
      <c r="V281" s="1">
        <v>0.0</v>
      </c>
      <c r="W281" s="1">
        <v>13.0</v>
      </c>
      <c r="X281" s="1">
        <v>13.0</v>
      </c>
      <c r="Y281" s="1" t="s">
        <v>46</v>
      </c>
      <c r="AA281" s="1" t="s">
        <v>38</v>
      </c>
      <c r="AB281" s="1">
        <v>1.0</v>
      </c>
      <c r="AC281" s="1">
        <v>0.0</v>
      </c>
      <c r="AD281" s="1">
        <v>0.0</v>
      </c>
      <c r="AE281" s="6">
        <v>0.4583333333333333</v>
      </c>
      <c r="AF281" s="1" t="s">
        <v>39</v>
      </c>
    </row>
    <row r="282">
      <c r="B282" s="2">
        <v>46179.0</v>
      </c>
      <c r="C282" s="3">
        <v>0.3958333333333333</v>
      </c>
      <c r="D282" s="3">
        <v>0.4166666666666667</v>
      </c>
      <c r="E282" s="3">
        <v>0.3958333333333333</v>
      </c>
      <c r="F282" s="3">
        <v>0.43125</v>
      </c>
      <c r="H282" s="1" t="s">
        <v>434</v>
      </c>
      <c r="J282" s="1" t="s">
        <v>32</v>
      </c>
      <c r="K282" s="1" t="s">
        <v>435</v>
      </c>
      <c r="L282" s="1" t="s">
        <v>121</v>
      </c>
      <c r="M282" s="1" t="s">
        <v>59</v>
      </c>
      <c r="N282" s="1" t="s">
        <v>436</v>
      </c>
      <c r="P282" s="1">
        <v>0.0</v>
      </c>
      <c r="R282" s="1" t="s">
        <v>62</v>
      </c>
      <c r="S282" s="1" t="s">
        <v>62</v>
      </c>
      <c r="U282" s="1" t="s">
        <v>55</v>
      </c>
      <c r="V282" s="1">
        <v>0.0</v>
      </c>
      <c r="W282" s="1">
        <v>51.0</v>
      </c>
      <c r="X282" s="1">
        <v>51.0</v>
      </c>
      <c r="Y282" s="1" t="s">
        <v>56</v>
      </c>
      <c r="AB282" s="1">
        <v>0.0</v>
      </c>
      <c r="AC282" s="1">
        <v>0.0</v>
      </c>
      <c r="AD282" s="1">
        <v>0.0</v>
      </c>
      <c r="AE282" s="6">
        <v>0.3958333333333333</v>
      </c>
      <c r="AF282" s="1" t="s">
        <v>39</v>
      </c>
    </row>
    <row r="283">
      <c r="B283" s="2">
        <v>46178.0</v>
      </c>
      <c r="C283" s="3">
        <v>0.625</v>
      </c>
      <c r="D283" s="3">
        <v>0.6354166666666666</v>
      </c>
      <c r="E283" s="3">
        <v>0.625</v>
      </c>
      <c r="F283" s="3">
        <v>0.5298611111111111</v>
      </c>
      <c r="G283" s="1">
        <v>2.24840953259E11</v>
      </c>
      <c r="H283" s="1" t="s">
        <v>437</v>
      </c>
      <c r="J283" s="1" t="s">
        <v>32</v>
      </c>
      <c r="K283" s="4">
        <f>+523327870829</f>
        <v>523327870829</v>
      </c>
      <c r="L283" s="1" t="s">
        <v>33</v>
      </c>
      <c r="M283" s="1" t="s">
        <v>34</v>
      </c>
      <c r="P283" s="1">
        <v>0.0</v>
      </c>
      <c r="R283" s="1" t="s">
        <v>70</v>
      </c>
      <c r="S283" s="1" t="s">
        <v>70</v>
      </c>
      <c r="U283" s="1" t="s">
        <v>36</v>
      </c>
      <c r="V283" s="1">
        <v>0.0</v>
      </c>
      <c r="W283" s="1">
        <v>-137.0</v>
      </c>
      <c r="X283" s="1">
        <v>-137.0</v>
      </c>
      <c r="Y283" s="1" t="s">
        <v>37</v>
      </c>
      <c r="AA283" s="1" t="s">
        <v>38</v>
      </c>
      <c r="AB283" s="1">
        <v>0.0</v>
      </c>
      <c r="AC283" s="1">
        <v>0.0</v>
      </c>
      <c r="AD283" s="1">
        <v>0.0</v>
      </c>
      <c r="AE283" s="6">
        <v>0.625</v>
      </c>
      <c r="AF283" s="1" t="s">
        <v>39</v>
      </c>
    </row>
    <row r="284">
      <c r="B284" s="2">
        <v>46178.0</v>
      </c>
      <c r="C284" s="3">
        <v>0.75</v>
      </c>
      <c r="D284" s="3">
        <v>0.7916666666666666</v>
      </c>
      <c r="E284" s="3">
        <v>0.75</v>
      </c>
      <c r="F284" s="3">
        <v>0.34444444444444444</v>
      </c>
      <c r="H284" s="1" t="s">
        <v>346</v>
      </c>
      <c r="J284" s="1" t="s">
        <v>32</v>
      </c>
      <c r="K284" s="4">
        <f>+523313662428</f>
        <v>523313662428</v>
      </c>
      <c r="L284" s="1" t="s">
        <v>83</v>
      </c>
      <c r="M284" s="1" t="s">
        <v>48</v>
      </c>
      <c r="N284" s="1" t="s">
        <v>67</v>
      </c>
      <c r="P284" s="1">
        <v>0.0</v>
      </c>
      <c r="R284" s="1" t="s">
        <v>62</v>
      </c>
      <c r="S284" s="1" t="s">
        <v>62</v>
      </c>
      <c r="U284" s="1" t="s">
        <v>55</v>
      </c>
      <c r="V284" s="1">
        <v>0.0</v>
      </c>
      <c r="W284" s="1">
        <v>-584.0</v>
      </c>
      <c r="X284" s="1">
        <v>-584.0</v>
      </c>
      <c r="Y284" s="1" t="s">
        <v>50</v>
      </c>
      <c r="AA284" s="1" t="s">
        <v>38</v>
      </c>
      <c r="AB284" s="1">
        <v>1.0</v>
      </c>
      <c r="AC284" s="1">
        <v>0.0</v>
      </c>
      <c r="AD284" s="1">
        <v>0.0</v>
      </c>
      <c r="AE284" s="6">
        <v>0.75</v>
      </c>
      <c r="AF284" s="1" t="s">
        <v>39</v>
      </c>
    </row>
    <row r="285">
      <c r="B285" s="2">
        <v>46178.0</v>
      </c>
      <c r="C285" s="3">
        <v>0.5</v>
      </c>
      <c r="D285" s="3">
        <v>0.5208333333333334</v>
      </c>
      <c r="E285" s="3">
        <v>0.5</v>
      </c>
      <c r="F285" s="3">
        <v>0.525</v>
      </c>
      <c r="G285" s="1">
        <v>1.91161357961E11</v>
      </c>
      <c r="H285" s="1" t="s">
        <v>438</v>
      </c>
      <c r="J285" s="1" t="s">
        <v>32</v>
      </c>
      <c r="K285" s="4">
        <f>+523323847374</f>
        <v>523323847374</v>
      </c>
      <c r="L285" s="1" t="s">
        <v>121</v>
      </c>
      <c r="M285" s="1" t="s">
        <v>59</v>
      </c>
      <c r="P285" s="5">
        <v>20000.0</v>
      </c>
      <c r="R285" s="1" t="s">
        <v>45</v>
      </c>
      <c r="S285" s="1" t="s">
        <v>45</v>
      </c>
      <c r="U285" s="1" t="s">
        <v>55</v>
      </c>
      <c r="V285" s="1">
        <v>0.0</v>
      </c>
      <c r="W285" s="1">
        <v>36.0</v>
      </c>
      <c r="X285" s="1">
        <v>36.0</v>
      </c>
      <c r="Y285" s="1" t="s">
        <v>56</v>
      </c>
      <c r="AA285" s="1" t="s">
        <v>38</v>
      </c>
      <c r="AB285" s="1">
        <v>0.0</v>
      </c>
      <c r="AC285" s="1">
        <v>0.0</v>
      </c>
      <c r="AD285" s="1">
        <v>0.0</v>
      </c>
      <c r="AE285" s="6">
        <v>0.5</v>
      </c>
      <c r="AF285" s="1" t="s">
        <v>39</v>
      </c>
    </row>
    <row r="286">
      <c r="B286" s="2">
        <v>46178.0</v>
      </c>
      <c r="C286" s="3">
        <v>0.6666666666666666</v>
      </c>
      <c r="D286" s="3">
        <v>0.6736111111111112</v>
      </c>
      <c r="E286" s="3">
        <v>0.6666666666666666</v>
      </c>
      <c r="F286" s="3">
        <v>0.7020833333333333</v>
      </c>
      <c r="G286" s="1">
        <v>2.0984986002E11</v>
      </c>
      <c r="H286" s="1" t="s">
        <v>180</v>
      </c>
      <c r="J286" s="1" t="s">
        <v>32</v>
      </c>
      <c r="K286" s="4" t="str">
        <f>+52 33 3167 0108</f>
        <v>#ERROR!</v>
      </c>
      <c r="L286" s="1" t="s">
        <v>41</v>
      </c>
      <c r="M286" s="1" t="s">
        <v>42</v>
      </c>
      <c r="N286" s="1" t="s">
        <v>439</v>
      </c>
      <c r="P286" s="5">
        <v>0.0</v>
      </c>
      <c r="Q286" s="1">
        <v>0.0</v>
      </c>
      <c r="R286" s="1" t="s">
        <v>44</v>
      </c>
      <c r="S286" s="1" t="s">
        <v>45</v>
      </c>
      <c r="U286" s="1" t="s">
        <v>36</v>
      </c>
      <c r="V286" s="1">
        <v>0.0</v>
      </c>
      <c r="W286" s="1">
        <v>51.0</v>
      </c>
      <c r="X286" s="1">
        <v>51.0</v>
      </c>
      <c r="Y286" s="1" t="s">
        <v>99</v>
      </c>
      <c r="AA286" s="1" t="s">
        <v>38</v>
      </c>
      <c r="AB286" s="1">
        <v>0.0</v>
      </c>
      <c r="AC286" s="1">
        <v>0.0</v>
      </c>
      <c r="AD286" s="1">
        <v>0.0</v>
      </c>
      <c r="AE286" s="6">
        <v>0.6666666666666666</v>
      </c>
      <c r="AF286" s="1" t="s">
        <v>39</v>
      </c>
    </row>
    <row r="287">
      <c r="B287" s="2">
        <v>46178.0</v>
      </c>
      <c r="C287" s="3">
        <v>0.4375</v>
      </c>
      <c r="D287" s="3">
        <v>0.4583333333333333</v>
      </c>
      <c r="E287" s="3">
        <v>0.4375</v>
      </c>
      <c r="F287" s="3">
        <v>0.4576388888888889</v>
      </c>
      <c r="H287" s="1" t="s">
        <v>362</v>
      </c>
      <c r="J287" s="1" t="s">
        <v>32</v>
      </c>
      <c r="K287" s="4" t="str">
        <f>+52 33 3100 0147</f>
        <v>#ERROR!</v>
      </c>
      <c r="L287" s="1" t="s">
        <v>121</v>
      </c>
      <c r="M287" s="1" t="s">
        <v>59</v>
      </c>
      <c r="N287" s="1" t="s">
        <v>440</v>
      </c>
      <c r="P287" s="1">
        <v>0.0</v>
      </c>
      <c r="Q287" s="1">
        <v>0.0</v>
      </c>
      <c r="R287" s="1" t="s">
        <v>188</v>
      </c>
      <c r="S287" s="1" t="s">
        <v>188</v>
      </c>
      <c r="U287" s="1" t="s">
        <v>55</v>
      </c>
      <c r="V287" s="1">
        <v>0.0</v>
      </c>
      <c r="W287" s="1">
        <v>29.0</v>
      </c>
      <c r="X287" s="1">
        <v>29.0</v>
      </c>
      <c r="Y287" s="1" t="s">
        <v>78</v>
      </c>
      <c r="AA287" s="1" t="s">
        <v>38</v>
      </c>
      <c r="AB287" s="1">
        <v>0.0</v>
      </c>
      <c r="AC287" s="1">
        <v>0.0</v>
      </c>
      <c r="AD287" s="1">
        <v>0.0</v>
      </c>
      <c r="AE287" s="6">
        <v>0.4375</v>
      </c>
      <c r="AF287" s="1" t="s">
        <v>39</v>
      </c>
    </row>
    <row r="288">
      <c r="B288" s="2">
        <v>46178.0</v>
      </c>
      <c r="C288" s="3">
        <v>0.6423611111111112</v>
      </c>
      <c r="D288" s="3">
        <v>0.6527777777777778</v>
      </c>
      <c r="E288" s="3">
        <v>0.6423611111111112</v>
      </c>
      <c r="F288" s="3">
        <v>0.6694444444444444</v>
      </c>
      <c r="G288" s="1">
        <v>2.20709309447E11</v>
      </c>
      <c r="H288" s="1" t="s">
        <v>441</v>
      </c>
      <c r="J288" s="1" t="s">
        <v>32</v>
      </c>
      <c r="K288" s="4">
        <f>+523312224375</f>
        <v>523312224375</v>
      </c>
      <c r="L288" s="1" t="s">
        <v>33</v>
      </c>
      <c r="M288" s="1" t="s">
        <v>34</v>
      </c>
      <c r="P288" s="5">
        <v>0.0</v>
      </c>
      <c r="R288" s="1" t="s">
        <v>45</v>
      </c>
      <c r="S288" s="1" t="s">
        <v>45</v>
      </c>
      <c r="U288" s="1" t="s">
        <v>55</v>
      </c>
      <c r="V288" s="1">
        <v>0.0</v>
      </c>
      <c r="W288" s="1">
        <v>39.0</v>
      </c>
      <c r="X288" s="1">
        <v>39.0</v>
      </c>
      <c r="Y288" s="1" t="s">
        <v>56</v>
      </c>
      <c r="AA288" s="1" t="s">
        <v>38</v>
      </c>
      <c r="AB288" s="1">
        <v>0.0</v>
      </c>
      <c r="AC288" s="1">
        <v>0.0</v>
      </c>
      <c r="AD288" s="1">
        <v>0.0</v>
      </c>
      <c r="AE288" s="6">
        <v>0.6423611111111112</v>
      </c>
      <c r="AF288" s="1" t="s">
        <v>39</v>
      </c>
    </row>
    <row r="289">
      <c r="B289" s="2">
        <v>46178.0</v>
      </c>
      <c r="C289" s="3">
        <v>0.6666666666666666</v>
      </c>
      <c r="D289" s="3">
        <v>0.7083333333333334</v>
      </c>
      <c r="E289" s="3">
        <v>0.6666666666666666</v>
      </c>
      <c r="F289" s="3">
        <v>0.7138888888888889</v>
      </c>
      <c r="G289" s="1">
        <v>2.26188079977E11</v>
      </c>
      <c r="H289" s="1" t="s">
        <v>266</v>
      </c>
      <c r="J289" s="1" t="s">
        <v>32</v>
      </c>
      <c r="K289" s="4">
        <f>+12623449020</f>
        <v>12623449020</v>
      </c>
      <c r="L289" s="1" t="s">
        <v>289</v>
      </c>
      <c r="M289" s="1" t="s">
        <v>48</v>
      </c>
      <c r="N289" s="1" t="s">
        <v>442</v>
      </c>
      <c r="P289" s="5">
        <v>0.0</v>
      </c>
      <c r="R289" s="1" t="s">
        <v>35</v>
      </c>
      <c r="S289" s="1" t="s">
        <v>35</v>
      </c>
      <c r="U289" s="1" t="s">
        <v>36</v>
      </c>
      <c r="V289" s="1">
        <v>0.0</v>
      </c>
      <c r="W289" s="1">
        <v>68.0</v>
      </c>
      <c r="X289" s="1">
        <v>68.0</v>
      </c>
      <c r="Y289" s="1" t="s">
        <v>50</v>
      </c>
      <c r="AA289" s="1" t="s">
        <v>64</v>
      </c>
      <c r="AB289" s="1">
        <v>0.0</v>
      </c>
      <c r="AC289" s="1">
        <v>0.0</v>
      </c>
      <c r="AD289" s="1">
        <v>0.0</v>
      </c>
      <c r="AE289" s="6">
        <v>0.6666666666666666</v>
      </c>
      <c r="AF289" s="1" t="s">
        <v>39</v>
      </c>
    </row>
    <row r="290">
      <c r="B290" s="2">
        <v>46178.0</v>
      </c>
      <c r="C290" s="3">
        <v>0.7083333333333334</v>
      </c>
      <c r="D290" s="3">
        <v>0.7152777777777778</v>
      </c>
      <c r="E290" s="3">
        <v>0.7083333333333334</v>
      </c>
      <c r="F290" s="3">
        <v>0.3541666666666667</v>
      </c>
      <c r="G290" s="1">
        <v>7.8822350463E10</v>
      </c>
      <c r="H290" s="1" t="s">
        <v>208</v>
      </c>
      <c r="J290" s="1" t="s">
        <v>32</v>
      </c>
      <c r="K290" s="4">
        <f>+5213315386133</f>
        <v>5213315386133</v>
      </c>
      <c r="L290" s="1" t="s">
        <v>41</v>
      </c>
      <c r="M290" s="1" t="s">
        <v>42</v>
      </c>
      <c r="N290" s="1" t="s">
        <v>443</v>
      </c>
      <c r="P290" s="1">
        <v>0.0</v>
      </c>
      <c r="Q290" s="1">
        <v>0.0</v>
      </c>
      <c r="R290" s="1" t="s">
        <v>44</v>
      </c>
      <c r="S290" s="1" t="s">
        <v>35</v>
      </c>
      <c r="U290" s="1" t="s">
        <v>36</v>
      </c>
      <c r="V290" s="1">
        <v>0.0</v>
      </c>
      <c r="W290" s="1">
        <v>-510.0</v>
      </c>
      <c r="X290" s="1">
        <v>-510.0</v>
      </c>
      <c r="Y290" s="1" t="s">
        <v>50</v>
      </c>
      <c r="AA290" s="1" t="s">
        <v>38</v>
      </c>
      <c r="AB290" s="1">
        <v>0.0</v>
      </c>
      <c r="AC290" s="1">
        <v>0.0</v>
      </c>
      <c r="AD290" s="1">
        <v>0.0</v>
      </c>
      <c r="AE290" s="6">
        <v>0.7083333333333334</v>
      </c>
      <c r="AF290" s="1" t="s">
        <v>39</v>
      </c>
    </row>
    <row r="291">
      <c r="B291" s="2">
        <v>46178.0</v>
      </c>
      <c r="C291" s="3">
        <v>0.375</v>
      </c>
      <c r="D291" s="3">
        <v>0.40625</v>
      </c>
      <c r="E291" s="3">
        <v>0.375</v>
      </c>
      <c r="F291" s="3">
        <v>0.40347222222222223</v>
      </c>
      <c r="H291" s="1" t="s">
        <v>444</v>
      </c>
      <c r="J291" s="1" t="s">
        <v>32</v>
      </c>
      <c r="K291" s="1">
        <v>3.330116504E9</v>
      </c>
      <c r="L291" s="1" t="s">
        <v>75</v>
      </c>
      <c r="M291" s="1" t="s">
        <v>42</v>
      </c>
      <c r="N291" s="1" t="s">
        <v>445</v>
      </c>
      <c r="P291" s="1">
        <v>0.0</v>
      </c>
      <c r="Q291" s="1">
        <v>0.0</v>
      </c>
      <c r="R291" s="1" t="s">
        <v>53</v>
      </c>
      <c r="S291" s="1" t="s">
        <v>35</v>
      </c>
      <c r="U291" s="1" t="s">
        <v>55</v>
      </c>
      <c r="V291" s="1">
        <v>0.0</v>
      </c>
      <c r="W291" s="1">
        <v>41.0</v>
      </c>
      <c r="X291" s="1">
        <v>41.0</v>
      </c>
      <c r="Y291" s="1" t="s">
        <v>81</v>
      </c>
      <c r="AA291" s="1" t="s">
        <v>38</v>
      </c>
      <c r="AB291" s="1">
        <v>0.0</v>
      </c>
      <c r="AC291" s="1">
        <v>0.0</v>
      </c>
      <c r="AD291" s="1">
        <v>0.0</v>
      </c>
      <c r="AE291" s="6">
        <v>0.375</v>
      </c>
      <c r="AF291" s="1" t="s">
        <v>39</v>
      </c>
    </row>
    <row r="292">
      <c r="B292" s="2">
        <v>46178.0</v>
      </c>
      <c r="C292" s="3">
        <v>0.375</v>
      </c>
      <c r="D292" s="3">
        <v>0.3819444444444444</v>
      </c>
      <c r="E292" s="3">
        <v>0.375</v>
      </c>
      <c r="F292" s="3">
        <v>0.38958333333333334</v>
      </c>
      <c r="H292" s="1" t="s">
        <v>386</v>
      </c>
      <c r="J292" s="1" t="s">
        <v>32</v>
      </c>
      <c r="K292" s="1">
        <v>3.32559752E9</v>
      </c>
      <c r="L292" s="1" t="s">
        <v>41</v>
      </c>
      <c r="M292" s="1" t="s">
        <v>42</v>
      </c>
      <c r="N292" s="1" t="s">
        <v>446</v>
      </c>
      <c r="P292" s="1">
        <v>0.0</v>
      </c>
      <c r="Q292" s="1">
        <v>0.0</v>
      </c>
      <c r="R292" s="1" t="s">
        <v>44</v>
      </c>
      <c r="S292" s="1" t="s">
        <v>35</v>
      </c>
      <c r="U292" s="1" t="s">
        <v>55</v>
      </c>
      <c r="V292" s="1">
        <v>0.0</v>
      </c>
      <c r="W292" s="1">
        <v>21.0</v>
      </c>
      <c r="X292" s="1">
        <v>21.0</v>
      </c>
      <c r="Y292" s="1" t="s">
        <v>81</v>
      </c>
      <c r="AA292" s="1" t="s">
        <v>38</v>
      </c>
      <c r="AB292" s="1">
        <v>0.0</v>
      </c>
      <c r="AC292" s="1">
        <v>0.0</v>
      </c>
      <c r="AD292" s="1">
        <v>0.0</v>
      </c>
      <c r="AE292" s="6">
        <v>0.375</v>
      </c>
      <c r="AF292" s="1" t="s">
        <v>39</v>
      </c>
    </row>
    <row r="293">
      <c r="B293" s="2">
        <v>46178.0</v>
      </c>
      <c r="C293" s="3">
        <v>0.5972222222222222</v>
      </c>
      <c r="D293" s="3">
        <v>0.6076388888888888</v>
      </c>
      <c r="E293" s="3">
        <v>0.5972222222222222</v>
      </c>
      <c r="F293" s="3">
        <v>0.5576388888888889</v>
      </c>
      <c r="G293" s="1">
        <v>2.20077529777E11</v>
      </c>
      <c r="H293" s="1" t="s">
        <v>447</v>
      </c>
      <c r="J293" s="1" t="s">
        <v>32</v>
      </c>
      <c r="K293" s="4">
        <f>+5213314536756</f>
        <v>5213314536756</v>
      </c>
      <c r="L293" s="1" t="s">
        <v>33</v>
      </c>
      <c r="M293" s="1" t="s">
        <v>34</v>
      </c>
      <c r="P293" s="1">
        <v>0.0</v>
      </c>
      <c r="R293" s="1" t="s">
        <v>35</v>
      </c>
      <c r="S293" s="1" t="s">
        <v>35</v>
      </c>
      <c r="U293" s="1" t="s">
        <v>36</v>
      </c>
      <c r="V293" s="1">
        <v>0.0</v>
      </c>
      <c r="W293" s="1">
        <v>-57.0</v>
      </c>
      <c r="X293" s="1">
        <v>-57.0</v>
      </c>
      <c r="Y293" s="1" t="s">
        <v>37</v>
      </c>
      <c r="AA293" s="1" t="s">
        <v>38</v>
      </c>
      <c r="AB293" s="1">
        <v>0.0</v>
      </c>
      <c r="AC293" s="1">
        <v>0.0</v>
      </c>
      <c r="AD293" s="1">
        <v>0.0</v>
      </c>
      <c r="AE293" s="6">
        <v>0.5972222222222222</v>
      </c>
      <c r="AF293" s="1" t="s">
        <v>39</v>
      </c>
    </row>
    <row r="294">
      <c r="B294" s="2">
        <v>46178.0</v>
      </c>
      <c r="C294" s="3">
        <v>0.5625</v>
      </c>
      <c r="D294" s="3">
        <v>0.5729166666666666</v>
      </c>
      <c r="E294" s="3">
        <v>0.5625</v>
      </c>
      <c r="F294" s="3">
        <v>0.5569444444444445</v>
      </c>
      <c r="G294" s="1">
        <v>2.21693222785E11</v>
      </c>
      <c r="H294" s="1" t="s">
        <v>448</v>
      </c>
      <c r="J294" s="1" t="s">
        <v>32</v>
      </c>
      <c r="K294" s="4">
        <f>+523314128201</f>
        <v>523314128201</v>
      </c>
      <c r="L294" s="1" t="s">
        <v>33</v>
      </c>
      <c r="M294" s="1" t="s">
        <v>34</v>
      </c>
      <c r="P294" s="1">
        <v>0.0</v>
      </c>
      <c r="R294" s="1" t="s">
        <v>35</v>
      </c>
      <c r="S294" s="1" t="s">
        <v>35</v>
      </c>
      <c r="U294" s="1" t="s">
        <v>36</v>
      </c>
      <c r="V294" s="1">
        <v>0.0</v>
      </c>
      <c r="W294" s="1">
        <v>-8.0</v>
      </c>
      <c r="X294" s="1">
        <v>-8.0</v>
      </c>
      <c r="Y294" s="1" t="s">
        <v>37</v>
      </c>
      <c r="AA294" s="1" t="s">
        <v>38</v>
      </c>
      <c r="AB294" s="1">
        <v>0.0</v>
      </c>
      <c r="AC294" s="1">
        <v>0.0</v>
      </c>
      <c r="AD294" s="1">
        <v>0.0</v>
      </c>
      <c r="AE294" s="6">
        <v>0.5625</v>
      </c>
      <c r="AF294" s="1" t="s">
        <v>39</v>
      </c>
    </row>
    <row r="295">
      <c r="B295" s="2">
        <v>46178.0</v>
      </c>
      <c r="C295" s="3">
        <v>0.7916666666666666</v>
      </c>
      <c r="D295" s="3">
        <v>0.8333333333333334</v>
      </c>
      <c r="E295" s="3">
        <v>0.7916666666666666</v>
      </c>
      <c r="F295" s="3">
        <v>0.3541666666666667</v>
      </c>
      <c r="G295" s="1">
        <v>2.22405825702E11</v>
      </c>
      <c r="H295" s="1" t="s">
        <v>404</v>
      </c>
      <c r="J295" s="1" t="s">
        <v>32</v>
      </c>
      <c r="K295" s="4">
        <f>+523781160762</f>
        <v>523781160762</v>
      </c>
      <c r="L295" s="1" t="s">
        <v>83</v>
      </c>
      <c r="M295" s="1" t="s">
        <v>48</v>
      </c>
      <c r="N295" s="1" t="s">
        <v>449</v>
      </c>
      <c r="P295" s="5">
        <v>0.0</v>
      </c>
      <c r="R295" s="1" t="s">
        <v>35</v>
      </c>
      <c r="S295" s="1" t="s">
        <v>35</v>
      </c>
      <c r="U295" s="1" t="s">
        <v>36</v>
      </c>
      <c r="V295" s="1">
        <v>0.0</v>
      </c>
      <c r="W295" s="1">
        <v>-630.0</v>
      </c>
      <c r="X295" s="1">
        <v>-630.0</v>
      </c>
      <c r="Y295" s="1" t="s">
        <v>50</v>
      </c>
      <c r="AA295" s="1" t="s">
        <v>38</v>
      </c>
      <c r="AB295" s="1">
        <v>0.0</v>
      </c>
      <c r="AC295" s="1">
        <v>0.0</v>
      </c>
      <c r="AD295" s="1">
        <v>0.0</v>
      </c>
      <c r="AE295" s="6">
        <v>0.7916666666666666</v>
      </c>
      <c r="AF295" s="1" t="s">
        <v>39</v>
      </c>
    </row>
    <row r="296">
      <c r="B296" s="2">
        <v>46178.0</v>
      </c>
      <c r="C296" s="3">
        <v>0.4791666666666667</v>
      </c>
      <c r="D296" s="3">
        <v>0.4861111111111111</v>
      </c>
      <c r="E296" s="3">
        <v>0.4791666666666667</v>
      </c>
      <c r="F296" s="3">
        <v>0.4930555555555556</v>
      </c>
      <c r="G296" s="1">
        <v>9.0025901E7</v>
      </c>
      <c r="H296" s="1" t="s">
        <v>450</v>
      </c>
      <c r="J296" s="1" t="s">
        <v>32</v>
      </c>
      <c r="K296" s="1">
        <v>4.155530404E9</v>
      </c>
      <c r="L296" s="1" t="s">
        <v>41</v>
      </c>
      <c r="M296" s="1" t="s">
        <v>42</v>
      </c>
      <c r="N296" s="1" t="s">
        <v>451</v>
      </c>
      <c r="P296" s="5">
        <v>0.0</v>
      </c>
      <c r="Q296" s="1">
        <v>0.0</v>
      </c>
      <c r="R296" s="1" t="s">
        <v>44</v>
      </c>
      <c r="S296" s="1" t="s">
        <v>45</v>
      </c>
      <c r="U296" s="1" t="s">
        <v>36</v>
      </c>
      <c r="V296" s="1">
        <v>0.0</v>
      </c>
      <c r="W296" s="1">
        <v>20.0</v>
      </c>
      <c r="X296" s="1">
        <v>20.0</v>
      </c>
      <c r="Y296" s="1" t="s">
        <v>99</v>
      </c>
      <c r="AA296" s="1" t="s">
        <v>64</v>
      </c>
      <c r="AB296" s="1">
        <v>0.0</v>
      </c>
      <c r="AC296" s="1">
        <v>0.0</v>
      </c>
      <c r="AD296" s="1">
        <v>0.0</v>
      </c>
      <c r="AE296" s="6">
        <v>0.4791666666666667</v>
      </c>
      <c r="AF296" s="1" t="s">
        <v>39</v>
      </c>
    </row>
    <row r="297">
      <c r="B297" s="2">
        <v>46178.0</v>
      </c>
      <c r="C297" s="3">
        <v>0.5625</v>
      </c>
      <c r="D297" s="3">
        <v>0.5694444444444444</v>
      </c>
      <c r="E297" s="3">
        <v>0.5625</v>
      </c>
      <c r="F297" s="3">
        <v>0.5722222222222222</v>
      </c>
      <c r="G297" s="1">
        <v>2.08589766444E11</v>
      </c>
      <c r="H297" s="1" t="s">
        <v>313</v>
      </c>
      <c r="J297" s="1" t="s">
        <v>32</v>
      </c>
      <c r="K297" s="4">
        <f t="shared" ref="K297:K298" si="11">+523313219330</f>
        <v>523313219330</v>
      </c>
      <c r="L297" s="1" t="s">
        <v>41</v>
      </c>
      <c r="M297" s="1" t="s">
        <v>42</v>
      </c>
      <c r="N297" s="1" t="s">
        <v>452</v>
      </c>
      <c r="P297" s="1">
        <v>0.0</v>
      </c>
      <c r="Q297" s="1">
        <v>0.0</v>
      </c>
      <c r="R297" s="1" t="s">
        <v>44</v>
      </c>
      <c r="S297" s="1" t="s">
        <v>45</v>
      </c>
      <c r="T297" s="1" t="s">
        <v>314</v>
      </c>
      <c r="U297" s="1" t="s">
        <v>55</v>
      </c>
      <c r="V297" s="1">
        <v>0.0</v>
      </c>
      <c r="W297" s="1">
        <v>14.0</v>
      </c>
      <c r="X297" s="1">
        <v>14.0</v>
      </c>
      <c r="Y297" s="1" t="s">
        <v>99</v>
      </c>
      <c r="AA297" s="1" t="s">
        <v>38</v>
      </c>
      <c r="AB297" s="1">
        <v>0.0</v>
      </c>
      <c r="AC297" s="1">
        <v>0.0</v>
      </c>
      <c r="AD297" s="1">
        <v>0.0</v>
      </c>
      <c r="AE297" s="6">
        <v>0.5625</v>
      </c>
      <c r="AF297" s="1" t="s">
        <v>39</v>
      </c>
    </row>
    <row r="298">
      <c r="B298" s="2">
        <v>46178.0</v>
      </c>
      <c r="C298" s="3">
        <v>0.5625</v>
      </c>
      <c r="D298" s="3">
        <v>0.5833333333333334</v>
      </c>
      <c r="E298" s="3">
        <v>0.5625</v>
      </c>
      <c r="F298" s="3">
        <v>0.6</v>
      </c>
      <c r="G298" s="1">
        <v>2.08589766444E11</v>
      </c>
      <c r="H298" s="1" t="s">
        <v>313</v>
      </c>
      <c r="J298" s="1" t="s">
        <v>32</v>
      </c>
      <c r="K298" s="4">
        <f t="shared" si="11"/>
        <v>523313219330</v>
      </c>
      <c r="L298" s="1" t="s">
        <v>66</v>
      </c>
      <c r="M298" s="1" t="s">
        <v>34</v>
      </c>
      <c r="N298" s="1" t="s">
        <v>67</v>
      </c>
      <c r="P298" s="1">
        <v>0.0</v>
      </c>
      <c r="Q298" s="1">
        <v>0.0</v>
      </c>
      <c r="R298" s="1" t="s">
        <v>45</v>
      </c>
      <c r="S298" s="1" t="s">
        <v>45</v>
      </c>
      <c r="T298" s="1" t="s">
        <v>314</v>
      </c>
      <c r="U298" s="1" t="s">
        <v>55</v>
      </c>
      <c r="V298" s="1">
        <v>0.0</v>
      </c>
      <c r="W298" s="1">
        <v>54.0</v>
      </c>
      <c r="X298" s="1">
        <v>54.0</v>
      </c>
      <c r="Y298" s="1" t="s">
        <v>50</v>
      </c>
      <c r="AA298" s="1" t="s">
        <v>38</v>
      </c>
      <c r="AB298" s="1">
        <v>0.0</v>
      </c>
      <c r="AC298" s="1">
        <v>0.0</v>
      </c>
      <c r="AD298" s="1">
        <v>0.0</v>
      </c>
      <c r="AE298" s="6">
        <v>0.5625</v>
      </c>
      <c r="AF298" s="1" t="s">
        <v>39</v>
      </c>
    </row>
    <row r="299">
      <c r="B299" s="2">
        <v>46178.0</v>
      </c>
      <c r="C299" s="3">
        <v>0.5416666666666666</v>
      </c>
      <c r="D299" s="3">
        <v>0.5520833333333334</v>
      </c>
      <c r="E299" s="3">
        <v>0.5416666666666666</v>
      </c>
      <c r="F299" s="3">
        <v>0.5520833333333334</v>
      </c>
      <c r="G299" s="1">
        <v>1.28615761068E11</v>
      </c>
      <c r="H299" s="1" t="s">
        <v>232</v>
      </c>
      <c r="J299" s="1" t="s">
        <v>32</v>
      </c>
      <c r="K299" s="4">
        <f>+523335782664</f>
        <v>523335782664</v>
      </c>
      <c r="L299" s="1" t="s">
        <v>97</v>
      </c>
      <c r="M299" s="1" t="s">
        <v>42</v>
      </c>
      <c r="N299" s="1" t="s">
        <v>453</v>
      </c>
      <c r="P299" s="5">
        <v>0.0</v>
      </c>
      <c r="Q299" s="1">
        <v>0.0</v>
      </c>
      <c r="R299" s="1" t="s">
        <v>44</v>
      </c>
      <c r="S299" s="1" t="s">
        <v>45</v>
      </c>
      <c r="U299" s="1" t="s">
        <v>55</v>
      </c>
      <c r="V299" s="1">
        <v>0.0</v>
      </c>
      <c r="W299" s="1">
        <v>15.0</v>
      </c>
      <c r="X299" s="1">
        <v>15.0</v>
      </c>
      <c r="Y299" s="1" t="s">
        <v>56</v>
      </c>
      <c r="AA299" s="1" t="s">
        <v>38</v>
      </c>
      <c r="AB299" s="1">
        <v>0.0</v>
      </c>
      <c r="AC299" s="1">
        <v>0.0</v>
      </c>
      <c r="AD299" s="1">
        <v>0.0</v>
      </c>
      <c r="AE299" s="6">
        <v>0.5416666666666666</v>
      </c>
      <c r="AF299" s="1" t="s">
        <v>39</v>
      </c>
    </row>
    <row r="300">
      <c r="B300" s="2">
        <v>46178.0</v>
      </c>
      <c r="C300" s="3">
        <v>0.4791666666666667</v>
      </c>
      <c r="D300" s="3">
        <v>0.5</v>
      </c>
      <c r="E300" s="3">
        <v>0.4791666666666667</v>
      </c>
      <c r="F300" s="3">
        <v>0.4986111111111111</v>
      </c>
      <c r="G300" s="1">
        <v>9.0025901E7</v>
      </c>
      <c r="H300" s="1" t="s">
        <v>450</v>
      </c>
      <c r="J300" s="1" t="s">
        <v>32</v>
      </c>
      <c r="K300" s="1">
        <v>4.155530404E9</v>
      </c>
      <c r="L300" s="1" t="s">
        <v>101</v>
      </c>
      <c r="M300" s="1" t="s">
        <v>59</v>
      </c>
      <c r="N300" s="1" t="s">
        <v>67</v>
      </c>
      <c r="P300" s="5">
        <v>0.0</v>
      </c>
      <c r="Q300" s="1">
        <v>0.0</v>
      </c>
      <c r="R300" s="1" t="s">
        <v>45</v>
      </c>
      <c r="S300" s="1" t="s">
        <v>45</v>
      </c>
      <c r="U300" s="1" t="s">
        <v>36</v>
      </c>
      <c r="V300" s="1">
        <v>0.0</v>
      </c>
      <c r="W300" s="1">
        <v>28.0</v>
      </c>
      <c r="X300" s="1">
        <v>28.0</v>
      </c>
      <c r="Y300" s="1" t="s">
        <v>50</v>
      </c>
      <c r="AA300" s="1" t="s">
        <v>64</v>
      </c>
      <c r="AB300" s="1">
        <v>0.0</v>
      </c>
      <c r="AC300" s="1">
        <v>0.0</v>
      </c>
      <c r="AD300" s="1">
        <v>0.0</v>
      </c>
      <c r="AE300" s="6">
        <v>0.4791666666666667</v>
      </c>
      <c r="AF300" s="1" t="s">
        <v>39</v>
      </c>
    </row>
    <row r="301">
      <c r="B301" s="2">
        <v>46178.0</v>
      </c>
      <c r="C301" s="3">
        <v>0.6666666666666666</v>
      </c>
      <c r="D301" s="3">
        <v>0.6875</v>
      </c>
      <c r="E301" s="3">
        <v>0.6666666666666666</v>
      </c>
      <c r="F301" s="3">
        <v>0.6868055555555556</v>
      </c>
      <c r="G301" s="1">
        <v>2.0984986002E11</v>
      </c>
      <c r="H301" s="1" t="s">
        <v>180</v>
      </c>
      <c r="J301" s="1" t="s">
        <v>32</v>
      </c>
      <c r="K301" s="4" t="str">
        <f>+52 33 3167 0108</f>
        <v>#ERROR!</v>
      </c>
      <c r="L301" s="1" t="s">
        <v>66</v>
      </c>
      <c r="M301" s="1" t="s">
        <v>34</v>
      </c>
      <c r="P301" s="1">
        <v>0.0</v>
      </c>
      <c r="Q301" s="1">
        <v>0.0</v>
      </c>
      <c r="R301" s="1" t="s">
        <v>45</v>
      </c>
      <c r="S301" s="1" t="s">
        <v>45</v>
      </c>
      <c r="U301" s="1" t="s">
        <v>36</v>
      </c>
      <c r="V301" s="1">
        <v>0.0</v>
      </c>
      <c r="W301" s="1">
        <v>29.0</v>
      </c>
      <c r="X301" s="1">
        <v>29.0</v>
      </c>
      <c r="Y301" s="1" t="s">
        <v>56</v>
      </c>
      <c r="AA301" s="1" t="s">
        <v>38</v>
      </c>
      <c r="AB301" s="1">
        <v>0.0</v>
      </c>
      <c r="AC301" s="1">
        <v>0.0</v>
      </c>
      <c r="AD301" s="1">
        <v>0.0</v>
      </c>
      <c r="AE301" s="6">
        <v>0.6666666666666666</v>
      </c>
      <c r="AF301" s="1" t="s">
        <v>39</v>
      </c>
    </row>
    <row r="302">
      <c r="B302" s="2">
        <v>46178.0</v>
      </c>
      <c r="C302" s="3">
        <v>0.7083333333333334</v>
      </c>
      <c r="D302" s="3">
        <v>0.75</v>
      </c>
      <c r="E302" s="3">
        <v>0.7083333333333334</v>
      </c>
      <c r="F302" s="3">
        <v>0.3541666666666667</v>
      </c>
      <c r="G302" s="7">
        <v>2.21122933317216E22</v>
      </c>
      <c r="H302" s="1" t="s">
        <v>402</v>
      </c>
      <c r="J302" s="1" t="s">
        <v>32</v>
      </c>
      <c r="K302" s="4">
        <f>+525636444156</f>
        <v>525636444156</v>
      </c>
      <c r="L302" s="1" t="s">
        <v>83</v>
      </c>
      <c r="M302" s="1" t="s">
        <v>48</v>
      </c>
      <c r="N302" s="1" t="s">
        <v>454</v>
      </c>
      <c r="P302" s="1">
        <v>0.0</v>
      </c>
      <c r="R302" s="1" t="s">
        <v>62</v>
      </c>
      <c r="S302" s="1" t="s">
        <v>62</v>
      </c>
      <c r="U302" s="1" t="s">
        <v>55</v>
      </c>
      <c r="V302" s="1">
        <v>0.0</v>
      </c>
      <c r="W302" s="1">
        <v>-510.0</v>
      </c>
      <c r="X302" s="1">
        <v>-510.0</v>
      </c>
      <c r="Y302" s="1" t="s">
        <v>50</v>
      </c>
      <c r="AA302" s="1" t="s">
        <v>38</v>
      </c>
      <c r="AB302" s="1">
        <v>0.0</v>
      </c>
      <c r="AC302" s="1">
        <v>0.0</v>
      </c>
      <c r="AD302" s="1">
        <v>0.0</v>
      </c>
      <c r="AE302" s="6">
        <v>0.7083333333333334</v>
      </c>
      <c r="AF302" s="1" t="s">
        <v>39</v>
      </c>
    </row>
    <row r="303">
      <c r="B303" s="2">
        <v>46178.0</v>
      </c>
      <c r="C303" s="3">
        <v>0.3333333333333333</v>
      </c>
      <c r="D303" s="3">
        <v>0.34375</v>
      </c>
      <c r="E303" s="3">
        <v>0.3333333333333333</v>
      </c>
      <c r="F303" s="3">
        <v>0.33958333333333335</v>
      </c>
      <c r="G303" s="1">
        <v>5.9864908977E10</v>
      </c>
      <c r="H303" s="1" t="s">
        <v>224</v>
      </c>
      <c r="J303" s="1" t="s">
        <v>32</v>
      </c>
      <c r="K303" s="4">
        <f>+523311491429</f>
        <v>523311491429</v>
      </c>
      <c r="L303" s="1" t="s">
        <v>97</v>
      </c>
      <c r="M303" s="1" t="s">
        <v>42</v>
      </c>
      <c r="N303" s="1" t="s">
        <v>455</v>
      </c>
      <c r="P303" s="5">
        <v>0.0</v>
      </c>
      <c r="Q303" s="1">
        <v>0.0</v>
      </c>
      <c r="R303" s="1" t="s">
        <v>44</v>
      </c>
      <c r="S303" s="1" t="s">
        <v>45</v>
      </c>
      <c r="U303" s="1" t="s">
        <v>36</v>
      </c>
      <c r="V303" s="1">
        <v>0.0</v>
      </c>
      <c r="W303" s="1">
        <v>9.0</v>
      </c>
      <c r="X303" s="1">
        <v>9.0</v>
      </c>
      <c r="Y303" s="1" t="s">
        <v>56</v>
      </c>
      <c r="AA303" s="1" t="s">
        <v>38</v>
      </c>
      <c r="AB303" s="1">
        <v>0.0</v>
      </c>
      <c r="AC303" s="1">
        <v>0.0</v>
      </c>
      <c r="AD303" s="1">
        <v>0.0</v>
      </c>
      <c r="AE303" s="6">
        <v>0.3333333333333333</v>
      </c>
      <c r="AF303" s="1" t="s">
        <v>39</v>
      </c>
    </row>
    <row r="304">
      <c r="B304" s="2">
        <v>46177.0</v>
      </c>
      <c r="C304" s="3">
        <v>0.3333333333333333</v>
      </c>
      <c r="D304" s="3">
        <v>0.3541666666666667</v>
      </c>
      <c r="E304" s="3">
        <v>0.3333333333333333</v>
      </c>
      <c r="F304" s="3">
        <v>0.3680555555555556</v>
      </c>
      <c r="H304" s="1" t="s">
        <v>456</v>
      </c>
      <c r="J304" s="1" t="s">
        <v>32</v>
      </c>
      <c r="K304" s="1" t="s">
        <v>457</v>
      </c>
      <c r="L304" s="1" t="s">
        <v>90</v>
      </c>
      <c r="M304" s="1" t="s">
        <v>87</v>
      </c>
      <c r="N304" s="1" t="s">
        <v>458</v>
      </c>
      <c r="P304" s="5">
        <v>14000.0</v>
      </c>
      <c r="Q304" s="1">
        <v>0.0</v>
      </c>
      <c r="R304" s="1" t="s">
        <v>53</v>
      </c>
      <c r="S304" s="1" t="s">
        <v>191</v>
      </c>
      <c r="U304" s="1" t="s">
        <v>55</v>
      </c>
      <c r="V304" s="1">
        <v>0.0</v>
      </c>
      <c r="W304" s="1">
        <v>50.0</v>
      </c>
      <c r="X304" s="1">
        <v>50.0</v>
      </c>
      <c r="Y304" s="1" t="s">
        <v>78</v>
      </c>
      <c r="AA304" s="1" t="s">
        <v>38</v>
      </c>
      <c r="AB304" s="1">
        <v>0.0</v>
      </c>
      <c r="AC304" s="1">
        <v>0.0</v>
      </c>
      <c r="AD304" s="1">
        <v>0.0</v>
      </c>
      <c r="AE304" s="6">
        <v>0.3333333333333333</v>
      </c>
      <c r="AF304" s="1" t="s">
        <v>39</v>
      </c>
    </row>
    <row r="305">
      <c r="B305" s="2">
        <v>46177.0</v>
      </c>
      <c r="C305" s="3">
        <v>0.625</v>
      </c>
      <c r="D305" s="3">
        <v>0.6319444444444444</v>
      </c>
      <c r="E305" s="3">
        <v>0.625</v>
      </c>
      <c r="F305" s="3">
        <v>0.6743055555555556</v>
      </c>
      <c r="G305" s="1">
        <v>2.02433407092E11</v>
      </c>
      <c r="H305" s="1" t="s">
        <v>411</v>
      </c>
      <c r="J305" s="1" t="s">
        <v>32</v>
      </c>
      <c r="K305" s="4">
        <f>+523313403443</f>
        <v>523313403443</v>
      </c>
      <c r="L305" s="1" t="s">
        <v>41</v>
      </c>
      <c r="M305" s="1" t="s">
        <v>42</v>
      </c>
      <c r="N305" s="1" t="s">
        <v>459</v>
      </c>
      <c r="P305" s="5">
        <v>0.0</v>
      </c>
      <c r="R305" s="1" t="s">
        <v>44</v>
      </c>
      <c r="S305" s="1" t="s">
        <v>62</v>
      </c>
      <c r="U305" s="1" t="s">
        <v>36</v>
      </c>
      <c r="V305" s="1">
        <v>0.0</v>
      </c>
      <c r="W305" s="1">
        <v>71.0</v>
      </c>
      <c r="X305" s="1">
        <v>71.0</v>
      </c>
      <c r="Y305" s="1" t="s">
        <v>99</v>
      </c>
      <c r="AA305" s="1" t="s">
        <v>38</v>
      </c>
      <c r="AB305" s="1">
        <v>0.0</v>
      </c>
      <c r="AC305" s="1">
        <v>0.0</v>
      </c>
      <c r="AD305" s="1">
        <v>0.0</v>
      </c>
      <c r="AE305" s="6">
        <v>0.625</v>
      </c>
      <c r="AF305" s="1" t="s">
        <v>39</v>
      </c>
    </row>
    <row r="306">
      <c r="B306" s="2">
        <v>46177.0</v>
      </c>
      <c r="C306" s="3">
        <v>0.7291666666666666</v>
      </c>
      <c r="D306" s="3">
        <v>0.7395833333333334</v>
      </c>
      <c r="E306" s="3">
        <v>0.7291666666666666</v>
      </c>
      <c r="F306" s="3">
        <v>0.7347222222222223</v>
      </c>
      <c r="G306" s="1">
        <v>2.23806689842E11</v>
      </c>
      <c r="H306" s="1" t="s">
        <v>460</v>
      </c>
      <c r="J306" s="1" t="s">
        <v>32</v>
      </c>
      <c r="K306" s="4">
        <f>+5213351109582</f>
        <v>5213351109582</v>
      </c>
      <c r="L306" s="1" t="s">
        <v>33</v>
      </c>
      <c r="M306" s="1" t="s">
        <v>34</v>
      </c>
      <c r="P306" s="5">
        <v>0.0</v>
      </c>
      <c r="R306" s="1" t="s">
        <v>35</v>
      </c>
      <c r="S306" s="1" t="s">
        <v>35</v>
      </c>
      <c r="U306" s="1" t="s">
        <v>55</v>
      </c>
      <c r="V306" s="1">
        <v>0.0</v>
      </c>
      <c r="W306" s="1">
        <v>8.0</v>
      </c>
      <c r="X306" s="1">
        <v>8.0</v>
      </c>
      <c r="Y306" s="1" t="s">
        <v>37</v>
      </c>
      <c r="AA306" s="1" t="s">
        <v>38</v>
      </c>
      <c r="AB306" s="1">
        <v>0.0</v>
      </c>
      <c r="AC306" s="1">
        <v>0.0</v>
      </c>
      <c r="AD306" s="1">
        <v>0.0</v>
      </c>
      <c r="AE306" s="6">
        <v>0.7291666666666666</v>
      </c>
      <c r="AF306" s="1" t="s">
        <v>39</v>
      </c>
    </row>
    <row r="307">
      <c r="B307" s="2">
        <v>46177.0</v>
      </c>
      <c r="C307" s="3">
        <v>0.7083333333333334</v>
      </c>
      <c r="D307" s="3">
        <v>0.71875</v>
      </c>
      <c r="E307" s="3">
        <v>0.7083333333333334</v>
      </c>
      <c r="F307" s="3">
        <v>0.7347222222222223</v>
      </c>
      <c r="G307" s="1">
        <v>2.25591963313E11</v>
      </c>
      <c r="H307" s="1" t="s">
        <v>461</v>
      </c>
      <c r="J307" s="1" t="s">
        <v>32</v>
      </c>
      <c r="K307" s="4">
        <f>+523317727282</f>
        <v>523317727282</v>
      </c>
      <c r="L307" s="1" t="s">
        <v>33</v>
      </c>
      <c r="M307" s="1" t="s">
        <v>34</v>
      </c>
      <c r="P307" s="1">
        <v>0.0</v>
      </c>
      <c r="R307" s="1" t="s">
        <v>70</v>
      </c>
      <c r="S307" s="1" t="s">
        <v>70</v>
      </c>
      <c r="U307" s="1" t="s">
        <v>36</v>
      </c>
      <c r="V307" s="1">
        <v>0.0</v>
      </c>
      <c r="W307" s="1">
        <v>38.0</v>
      </c>
      <c r="X307" s="1">
        <v>38.0</v>
      </c>
      <c r="Y307" s="1" t="s">
        <v>37</v>
      </c>
      <c r="AA307" s="1" t="s">
        <v>38</v>
      </c>
      <c r="AB307" s="1">
        <v>0.0</v>
      </c>
      <c r="AC307" s="1">
        <v>0.0</v>
      </c>
      <c r="AD307" s="1">
        <v>0.0</v>
      </c>
      <c r="AE307" s="6">
        <v>0.7083333333333334</v>
      </c>
      <c r="AF307" s="1" t="s">
        <v>39</v>
      </c>
    </row>
    <row r="308">
      <c r="B308" s="2">
        <v>46177.0</v>
      </c>
      <c r="C308" s="3">
        <v>0.625</v>
      </c>
      <c r="D308" s="3">
        <v>0.6458333333333334</v>
      </c>
      <c r="E308" s="3">
        <v>0.625</v>
      </c>
      <c r="F308" s="3">
        <v>0.6743055555555556</v>
      </c>
      <c r="G308" s="1">
        <v>2.02433407092E11</v>
      </c>
      <c r="H308" s="1" t="s">
        <v>411</v>
      </c>
      <c r="J308" s="1" t="s">
        <v>32</v>
      </c>
      <c r="K308" s="4">
        <f>+523313403443</f>
        <v>523313403443</v>
      </c>
      <c r="L308" s="1" t="s">
        <v>66</v>
      </c>
      <c r="M308" s="1" t="s">
        <v>34</v>
      </c>
      <c r="N308" s="1" t="s">
        <v>68</v>
      </c>
      <c r="P308" s="1">
        <v>0.0</v>
      </c>
      <c r="R308" s="1" t="s">
        <v>62</v>
      </c>
      <c r="S308" s="1" t="s">
        <v>62</v>
      </c>
      <c r="U308" s="1" t="s">
        <v>36</v>
      </c>
      <c r="V308" s="1">
        <v>0.0</v>
      </c>
      <c r="W308" s="1">
        <v>71.0</v>
      </c>
      <c r="X308" s="1">
        <v>71.0</v>
      </c>
      <c r="Y308" s="1" t="s">
        <v>50</v>
      </c>
      <c r="AA308" s="1" t="s">
        <v>38</v>
      </c>
      <c r="AB308" s="1">
        <v>0.0</v>
      </c>
      <c r="AC308" s="1">
        <v>0.0</v>
      </c>
      <c r="AD308" s="1">
        <v>0.0</v>
      </c>
      <c r="AE308" s="6">
        <v>0.625</v>
      </c>
      <c r="AF308" s="1" t="s">
        <v>39</v>
      </c>
    </row>
    <row r="309">
      <c r="B309" s="2">
        <v>46177.0</v>
      </c>
      <c r="C309" s="3">
        <v>0.375</v>
      </c>
      <c r="D309" s="3">
        <v>0.3819444444444444</v>
      </c>
      <c r="E309" s="3">
        <v>0.375</v>
      </c>
      <c r="F309" s="3">
        <v>0.4041666666666667</v>
      </c>
      <c r="G309" s="1">
        <v>2.20709309447E11</v>
      </c>
      <c r="H309" s="1" t="s">
        <v>441</v>
      </c>
      <c r="J309" s="1" t="s">
        <v>32</v>
      </c>
      <c r="K309" s="4">
        <f>+523312224375</f>
        <v>523312224375</v>
      </c>
      <c r="L309" s="1" t="s">
        <v>41</v>
      </c>
      <c r="M309" s="1" t="s">
        <v>42</v>
      </c>
      <c r="N309" s="1" t="s">
        <v>462</v>
      </c>
      <c r="P309" s="1">
        <v>0.0</v>
      </c>
      <c r="R309" s="1" t="s">
        <v>44</v>
      </c>
      <c r="S309" s="1" t="s">
        <v>45</v>
      </c>
      <c r="U309" s="1" t="s">
        <v>55</v>
      </c>
      <c r="V309" s="1">
        <v>0.0</v>
      </c>
      <c r="W309" s="1">
        <v>42.0</v>
      </c>
      <c r="X309" s="1">
        <v>42.0</v>
      </c>
      <c r="Y309" s="1" t="s">
        <v>155</v>
      </c>
      <c r="AA309" s="1" t="s">
        <v>38</v>
      </c>
      <c r="AB309" s="1">
        <v>0.0</v>
      </c>
      <c r="AC309" s="1">
        <v>0.0</v>
      </c>
      <c r="AD309" s="1">
        <v>0.0</v>
      </c>
      <c r="AE309" s="6">
        <v>0.375</v>
      </c>
      <c r="AF309" s="1" t="s">
        <v>39</v>
      </c>
    </row>
    <row r="310">
      <c r="B310" s="2">
        <v>46177.0</v>
      </c>
      <c r="C310" s="3">
        <v>0.75</v>
      </c>
      <c r="D310" s="3">
        <v>0.7916666666666666</v>
      </c>
      <c r="E310" s="3">
        <v>0.75</v>
      </c>
      <c r="F310" s="3">
        <v>0.8180555555555555</v>
      </c>
      <c r="G310" s="1">
        <v>2.24794984021E11</v>
      </c>
      <c r="H310" s="1" t="s">
        <v>379</v>
      </c>
      <c r="J310" s="1" t="s">
        <v>32</v>
      </c>
      <c r="K310" s="4">
        <f>+5213311000927</f>
        <v>5213311000927</v>
      </c>
      <c r="L310" s="1" t="s">
        <v>83</v>
      </c>
      <c r="M310" s="1" t="s">
        <v>48</v>
      </c>
      <c r="N310" s="1" t="s">
        <v>463</v>
      </c>
      <c r="P310" s="1">
        <v>0.0</v>
      </c>
      <c r="R310" s="1" t="s">
        <v>62</v>
      </c>
      <c r="S310" s="1" t="s">
        <v>62</v>
      </c>
      <c r="U310" s="1" t="s">
        <v>55</v>
      </c>
      <c r="V310" s="1">
        <v>0.0</v>
      </c>
      <c r="W310" s="1">
        <v>98.0</v>
      </c>
      <c r="X310" s="1">
        <v>98.0</v>
      </c>
      <c r="Y310" s="1" t="s">
        <v>50</v>
      </c>
      <c r="AA310" s="1" t="s">
        <v>38</v>
      </c>
      <c r="AB310" s="1">
        <v>0.0</v>
      </c>
      <c r="AC310" s="1">
        <v>0.0</v>
      </c>
      <c r="AD310" s="1">
        <v>0.0</v>
      </c>
      <c r="AE310" s="6">
        <v>0.75</v>
      </c>
      <c r="AF310" s="1" t="s">
        <v>39</v>
      </c>
    </row>
    <row r="311">
      <c r="B311" s="2">
        <v>46177.0</v>
      </c>
      <c r="C311" s="3">
        <v>0.375</v>
      </c>
      <c r="D311" s="3">
        <v>0.4166666666666667</v>
      </c>
      <c r="E311" s="3">
        <v>0.375</v>
      </c>
      <c r="F311" s="3">
        <v>0.4041666666666667</v>
      </c>
      <c r="G311" s="1">
        <v>2.20709309447E11</v>
      </c>
      <c r="H311" s="1" t="s">
        <v>441</v>
      </c>
      <c r="J311" s="1" t="s">
        <v>32</v>
      </c>
      <c r="K311" s="4">
        <f>+523312224375</f>
        <v>523312224375</v>
      </c>
      <c r="L311" s="1" t="s">
        <v>47</v>
      </c>
      <c r="M311" s="1" t="s">
        <v>48</v>
      </c>
      <c r="N311" s="1" t="s">
        <v>464</v>
      </c>
      <c r="P311" s="1">
        <v>0.0</v>
      </c>
      <c r="R311" s="1" t="s">
        <v>45</v>
      </c>
      <c r="S311" s="1" t="s">
        <v>45</v>
      </c>
      <c r="U311" s="1" t="s">
        <v>36</v>
      </c>
      <c r="V311" s="1">
        <v>0.0</v>
      </c>
      <c r="W311" s="1">
        <v>42.0</v>
      </c>
      <c r="X311" s="1">
        <v>42.0</v>
      </c>
      <c r="Y311" s="1" t="s">
        <v>50</v>
      </c>
      <c r="AA311" s="1" t="s">
        <v>38</v>
      </c>
      <c r="AB311" s="1">
        <v>0.0</v>
      </c>
      <c r="AC311" s="1">
        <v>0.0</v>
      </c>
      <c r="AD311" s="1">
        <v>0.0</v>
      </c>
      <c r="AE311" s="6">
        <v>0.375</v>
      </c>
      <c r="AF311" s="1" t="s">
        <v>39</v>
      </c>
    </row>
    <row r="312">
      <c r="B312" s="2">
        <v>46176.0</v>
      </c>
      <c r="C312" s="3">
        <v>0.6666666666666666</v>
      </c>
      <c r="D312" s="3">
        <v>0.7083333333333334</v>
      </c>
      <c r="E312" s="3">
        <v>0.6666666666666666</v>
      </c>
      <c r="F312" s="3">
        <v>0.6694444444444444</v>
      </c>
      <c r="G312" s="1">
        <v>2.0984986002E11</v>
      </c>
      <c r="H312" s="1" t="s">
        <v>180</v>
      </c>
      <c r="J312" s="1" t="s">
        <v>32</v>
      </c>
      <c r="K312" s="4" t="str">
        <f>+52 33 3167 0108</f>
        <v>#ERROR!</v>
      </c>
      <c r="L312" s="1" t="s">
        <v>241</v>
      </c>
      <c r="M312" s="1" t="s">
        <v>34</v>
      </c>
      <c r="N312" s="1" t="s">
        <v>68</v>
      </c>
      <c r="P312" s="1">
        <v>0.0</v>
      </c>
      <c r="Q312" s="1">
        <v>0.0</v>
      </c>
      <c r="R312" s="1" t="s">
        <v>45</v>
      </c>
      <c r="S312" s="1" t="s">
        <v>45</v>
      </c>
      <c r="U312" s="1" t="s">
        <v>36</v>
      </c>
      <c r="V312" s="1">
        <v>4.0</v>
      </c>
      <c r="W312" s="1">
        <v>0.0</v>
      </c>
      <c r="X312" s="1">
        <v>4.0</v>
      </c>
      <c r="Y312" s="1" t="s">
        <v>50</v>
      </c>
      <c r="AA312" s="1" t="s">
        <v>38</v>
      </c>
      <c r="AB312" s="1">
        <v>0.0</v>
      </c>
      <c r="AC312" s="1">
        <v>0.0</v>
      </c>
      <c r="AD312" s="1">
        <v>0.0</v>
      </c>
      <c r="AE312" s="6">
        <v>0.6694444444444444</v>
      </c>
      <c r="AF312" s="1" t="s">
        <v>39</v>
      </c>
    </row>
    <row r="313">
      <c r="B313" s="2">
        <v>46176.0</v>
      </c>
      <c r="C313" s="3">
        <v>0.3541666666666667</v>
      </c>
      <c r="D313" s="3">
        <v>0.375</v>
      </c>
      <c r="E313" s="3">
        <v>0.3541666666666667</v>
      </c>
      <c r="F313" s="3">
        <v>0.36875</v>
      </c>
      <c r="H313" s="1" t="s">
        <v>465</v>
      </c>
      <c r="J313" s="1" t="s">
        <v>32</v>
      </c>
      <c r="K313" s="4" t="str">
        <f>+52 33 1382 4307</f>
        <v>#ERROR!</v>
      </c>
      <c r="L313" s="1" t="s">
        <v>90</v>
      </c>
      <c r="M313" s="1" t="s">
        <v>87</v>
      </c>
      <c r="N313" s="1" t="s">
        <v>466</v>
      </c>
      <c r="P313" s="5">
        <v>-27000.0</v>
      </c>
      <c r="Q313" s="1">
        <v>0.0</v>
      </c>
      <c r="R313" s="1" t="s">
        <v>53</v>
      </c>
      <c r="S313" s="1" t="s">
        <v>194</v>
      </c>
      <c r="U313" s="1" t="s">
        <v>55</v>
      </c>
      <c r="V313" s="1">
        <v>0.0</v>
      </c>
      <c r="W313" s="1">
        <v>21.0</v>
      </c>
      <c r="X313" s="1">
        <v>21.0</v>
      </c>
      <c r="Y313" s="1" t="s">
        <v>78</v>
      </c>
      <c r="AA313" s="1" t="s">
        <v>38</v>
      </c>
      <c r="AB313" s="1">
        <v>0.0</v>
      </c>
      <c r="AC313" s="1">
        <v>0.0</v>
      </c>
      <c r="AD313" s="1">
        <v>0.0</v>
      </c>
      <c r="AE313" s="6">
        <v>0.3541666666666667</v>
      </c>
      <c r="AF313" s="1" t="s">
        <v>39</v>
      </c>
    </row>
    <row r="314">
      <c r="B314" s="2">
        <v>46176.0</v>
      </c>
      <c r="C314" s="3">
        <v>0.3229166666666667</v>
      </c>
      <c r="D314" s="3">
        <v>0.3541666666666667</v>
      </c>
      <c r="E314" s="3">
        <v>0.3229166666666667</v>
      </c>
      <c r="F314" s="3">
        <v>0.36875</v>
      </c>
      <c r="H314" s="1" t="s">
        <v>467</v>
      </c>
      <c r="J314" s="1" t="s">
        <v>32</v>
      </c>
      <c r="K314" s="1" t="s">
        <v>468</v>
      </c>
      <c r="L314" s="1" t="s">
        <v>75</v>
      </c>
      <c r="M314" s="1" t="s">
        <v>42</v>
      </c>
      <c r="N314" s="1" t="s">
        <v>370</v>
      </c>
      <c r="P314" s="1">
        <v>0.0</v>
      </c>
      <c r="R314" s="1" t="s">
        <v>53</v>
      </c>
      <c r="U314" s="1" t="s">
        <v>55</v>
      </c>
      <c r="V314" s="1">
        <v>0.0</v>
      </c>
      <c r="W314" s="1">
        <v>66.0</v>
      </c>
      <c r="X314" s="1">
        <v>66.0</v>
      </c>
      <c r="Y314" s="1" t="s">
        <v>46</v>
      </c>
      <c r="AA314" s="1" t="s">
        <v>38</v>
      </c>
      <c r="AB314" s="1">
        <v>0.0</v>
      </c>
      <c r="AC314" s="1">
        <v>0.0</v>
      </c>
      <c r="AD314" s="1">
        <v>0.0</v>
      </c>
      <c r="AE314" s="6">
        <v>0.3229166666666667</v>
      </c>
      <c r="AF314" s="1" t="s">
        <v>39</v>
      </c>
    </row>
    <row r="315">
      <c r="B315" s="2">
        <v>46176.0</v>
      </c>
      <c r="C315" s="3">
        <v>0.3333333333333333</v>
      </c>
      <c r="D315" s="3">
        <v>0.375</v>
      </c>
      <c r="E315" s="3">
        <v>0.3333333333333333</v>
      </c>
      <c r="F315" s="3">
        <v>0.3659722222222222</v>
      </c>
      <c r="G315" s="1">
        <v>2.25902303235E11</v>
      </c>
      <c r="H315" s="1" t="s">
        <v>303</v>
      </c>
      <c r="J315" s="1" t="s">
        <v>32</v>
      </c>
      <c r="K315" s="4" t="str">
        <f>+52 33 1482 8986</f>
        <v>#ERROR!</v>
      </c>
      <c r="L315" s="1" t="s">
        <v>83</v>
      </c>
      <c r="M315" s="1" t="s">
        <v>48</v>
      </c>
      <c r="N315" s="1" t="s">
        <v>469</v>
      </c>
      <c r="P315" s="1">
        <v>0.0</v>
      </c>
      <c r="R315" s="1" t="s">
        <v>54</v>
      </c>
      <c r="S315" s="1" t="s">
        <v>54</v>
      </c>
      <c r="U315" s="1" t="s">
        <v>36</v>
      </c>
      <c r="V315" s="1">
        <v>10.0</v>
      </c>
      <c r="W315" s="1">
        <v>37.0</v>
      </c>
      <c r="X315" s="1">
        <v>47.0</v>
      </c>
      <c r="Y315" s="1" t="s">
        <v>50</v>
      </c>
      <c r="AA315" s="1" t="s">
        <v>38</v>
      </c>
      <c r="AB315" s="1">
        <v>1.0</v>
      </c>
      <c r="AC315" s="1">
        <v>0.0</v>
      </c>
      <c r="AD315" s="1">
        <v>0.0</v>
      </c>
      <c r="AE315" s="6">
        <v>0.3402777777777778</v>
      </c>
      <c r="AF315" s="1" t="s">
        <v>39</v>
      </c>
    </row>
    <row r="316">
      <c r="B316" s="2">
        <v>46176.0</v>
      </c>
      <c r="C316" s="3">
        <v>0.375</v>
      </c>
      <c r="D316" s="3">
        <v>0.3819444444444444</v>
      </c>
      <c r="E316" s="3">
        <v>0.375</v>
      </c>
      <c r="F316" s="3">
        <v>0.40069444444444446</v>
      </c>
      <c r="H316" s="1" t="s">
        <v>427</v>
      </c>
      <c r="J316" s="1" t="s">
        <v>32</v>
      </c>
      <c r="L316" s="1" t="s">
        <v>41</v>
      </c>
      <c r="M316" s="1" t="s">
        <v>42</v>
      </c>
      <c r="N316" s="1" t="s">
        <v>470</v>
      </c>
      <c r="P316" s="5">
        <v>-30150.0</v>
      </c>
      <c r="R316" s="1" t="s">
        <v>44</v>
      </c>
      <c r="S316" s="1" t="s">
        <v>429</v>
      </c>
      <c r="U316" s="1" t="s">
        <v>36</v>
      </c>
      <c r="V316" s="1">
        <v>0.0</v>
      </c>
      <c r="W316" s="1">
        <v>37.0</v>
      </c>
      <c r="X316" s="1">
        <v>37.0</v>
      </c>
      <c r="Y316" s="1" t="s">
        <v>471</v>
      </c>
      <c r="AA316" s="1" t="s">
        <v>38</v>
      </c>
      <c r="AB316" s="1">
        <v>0.0</v>
      </c>
      <c r="AC316" s="1">
        <v>0.0</v>
      </c>
      <c r="AD316" s="1">
        <v>0.0</v>
      </c>
      <c r="AE316" s="6">
        <v>0.375</v>
      </c>
      <c r="AF316" s="1" t="s">
        <v>39</v>
      </c>
    </row>
    <row r="317">
      <c r="B317" s="2">
        <v>46176.0</v>
      </c>
      <c r="C317" s="3">
        <v>0.3333333333333333</v>
      </c>
      <c r="D317" s="3">
        <v>0.3541666666666667</v>
      </c>
      <c r="E317" s="3">
        <v>0.3333333333333333</v>
      </c>
      <c r="F317" s="3">
        <v>0.4097222222222222</v>
      </c>
      <c r="G317" s="1">
        <v>2.08057270662E11</v>
      </c>
      <c r="H317" s="1" t="s">
        <v>472</v>
      </c>
      <c r="J317" s="1" t="s">
        <v>32</v>
      </c>
      <c r="K317" s="4">
        <f>+523328349108</f>
        <v>523328349108</v>
      </c>
      <c r="L317" s="1" t="s">
        <v>66</v>
      </c>
      <c r="M317" s="1" t="s">
        <v>34</v>
      </c>
      <c r="N317" s="1" t="s">
        <v>68</v>
      </c>
      <c r="P317" s="1">
        <v>0.0</v>
      </c>
      <c r="Q317" s="1">
        <v>0.0</v>
      </c>
      <c r="R317" s="1" t="s">
        <v>45</v>
      </c>
      <c r="S317" s="1" t="s">
        <v>45</v>
      </c>
      <c r="U317" s="1" t="s">
        <v>55</v>
      </c>
      <c r="V317" s="1">
        <v>93.0</v>
      </c>
      <c r="W317" s="1">
        <v>17.0</v>
      </c>
      <c r="X317" s="1">
        <v>110.0</v>
      </c>
      <c r="Y317" s="1" t="s">
        <v>50</v>
      </c>
      <c r="AA317" s="1" t="s">
        <v>38</v>
      </c>
      <c r="AB317" s="1">
        <v>0.0</v>
      </c>
      <c r="AC317" s="1">
        <v>0.0</v>
      </c>
      <c r="AD317" s="1">
        <v>0.0</v>
      </c>
      <c r="AE317" s="6">
        <v>0.39791666666666664</v>
      </c>
      <c r="AF317" s="1" t="s">
        <v>39</v>
      </c>
    </row>
    <row r="318">
      <c r="B318" s="2">
        <v>46176.0</v>
      </c>
      <c r="C318" s="3">
        <v>0.375</v>
      </c>
      <c r="D318" s="3">
        <v>0.3958333333333333</v>
      </c>
      <c r="E318" s="3">
        <v>0.375</v>
      </c>
      <c r="F318" s="3">
        <v>0.36875</v>
      </c>
      <c r="H318" s="1" t="s">
        <v>473</v>
      </c>
      <c r="J318" s="1" t="s">
        <v>32</v>
      </c>
      <c r="K318" s="4" t="str">
        <f>+52 33 2562 9318</f>
        <v>#ERROR!</v>
      </c>
      <c r="L318" s="1" t="s">
        <v>90</v>
      </c>
      <c r="M318" s="1" t="s">
        <v>87</v>
      </c>
      <c r="N318" s="1" t="s">
        <v>474</v>
      </c>
      <c r="P318" s="1">
        <v>0.0</v>
      </c>
      <c r="R318" s="1" t="s">
        <v>53</v>
      </c>
      <c r="S318" s="1" t="s">
        <v>283</v>
      </c>
      <c r="U318" s="1" t="s">
        <v>55</v>
      </c>
      <c r="V318" s="1">
        <v>0.0</v>
      </c>
      <c r="W318" s="1">
        <v>-9.0</v>
      </c>
      <c r="X318" s="1">
        <v>-9.0</v>
      </c>
      <c r="Y318" s="1" t="s">
        <v>78</v>
      </c>
      <c r="AA318" s="1" t="s">
        <v>38</v>
      </c>
      <c r="AB318" s="1">
        <v>0.0</v>
      </c>
      <c r="AC318" s="1">
        <v>0.0</v>
      </c>
      <c r="AD318" s="1">
        <v>0.0</v>
      </c>
      <c r="AE318" s="6">
        <v>0.375</v>
      </c>
      <c r="AF318" s="1" t="s">
        <v>39</v>
      </c>
    </row>
    <row r="319">
      <c r="B319" s="2">
        <v>46176.0</v>
      </c>
      <c r="C319" s="3">
        <v>0.3541666666666667</v>
      </c>
      <c r="D319" s="3">
        <v>0.3854166666666667</v>
      </c>
      <c r="E319" s="3">
        <v>0.3541666666666667</v>
      </c>
      <c r="F319" s="3">
        <v>0.36875</v>
      </c>
      <c r="H319" s="1" t="s">
        <v>475</v>
      </c>
      <c r="J319" s="1" t="s">
        <v>32</v>
      </c>
      <c r="K319" s="1">
        <v>3.310473747E9</v>
      </c>
      <c r="L319" s="1" t="s">
        <v>158</v>
      </c>
      <c r="M319" s="1" t="s">
        <v>42</v>
      </c>
      <c r="N319" s="1" t="s">
        <v>476</v>
      </c>
      <c r="P319" s="5">
        <v>0.0</v>
      </c>
      <c r="Q319" s="1">
        <v>0.0</v>
      </c>
      <c r="R319" s="1" t="s">
        <v>53</v>
      </c>
      <c r="S319" s="1" t="s">
        <v>191</v>
      </c>
      <c r="U319" s="1" t="s">
        <v>55</v>
      </c>
      <c r="V319" s="1">
        <v>0.0</v>
      </c>
      <c r="W319" s="1">
        <v>21.0</v>
      </c>
      <c r="X319" s="1">
        <v>21.0</v>
      </c>
      <c r="Y319" s="1" t="s">
        <v>78</v>
      </c>
      <c r="AA319" s="1" t="s">
        <v>38</v>
      </c>
      <c r="AB319" s="1">
        <v>0.0</v>
      </c>
      <c r="AC319" s="1">
        <v>0.0</v>
      </c>
      <c r="AD319" s="1">
        <v>0.0</v>
      </c>
      <c r="AE319" s="6">
        <v>0.3541666666666667</v>
      </c>
      <c r="AF319" s="1" t="s">
        <v>39</v>
      </c>
    </row>
    <row r="320">
      <c r="B320" s="2">
        <v>46176.0</v>
      </c>
      <c r="C320" s="3">
        <v>0.3333333333333333</v>
      </c>
      <c r="D320" s="3">
        <v>0.3541666666666667</v>
      </c>
      <c r="E320" s="3">
        <v>0.3333333333333333</v>
      </c>
      <c r="F320" s="3">
        <v>0.36875</v>
      </c>
      <c r="H320" s="1" t="s">
        <v>477</v>
      </c>
      <c r="J320" s="1" t="s">
        <v>32</v>
      </c>
      <c r="K320" s="1">
        <v>3.310473747E9</v>
      </c>
      <c r="L320" s="1" t="s">
        <v>90</v>
      </c>
      <c r="M320" s="1" t="s">
        <v>87</v>
      </c>
      <c r="N320" s="1" t="s">
        <v>478</v>
      </c>
      <c r="P320" s="5">
        <v>8000.0</v>
      </c>
      <c r="Q320" s="1">
        <v>0.0</v>
      </c>
      <c r="R320" s="1" t="s">
        <v>53</v>
      </c>
      <c r="S320" s="1" t="s">
        <v>191</v>
      </c>
      <c r="U320" s="1" t="s">
        <v>55</v>
      </c>
      <c r="V320" s="1">
        <v>0.0</v>
      </c>
      <c r="W320" s="1">
        <v>51.0</v>
      </c>
      <c r="X320" s="1">
        <v>51.0</v>
      </c>
      <c r="Y320" s="1" t="s">
        <v>78</v>
      </c>
      <c r="AA320" s="1" t="s">
        <v>38</v>
      </c>
      <c r="AB320" s="1">
        <v>0.0</v>
      </c>
      <c r="AC320" s="1">
        <v>0.0</v>
      </c>
      <c r="AD320" s="1">
        <v>0.0</v>
      </c>
      <c r="AE320" s="6">
        <v>0.3333333333333333</v>
      </c>
      <c r="AF320" s="1" t="s">
        <v>39</v>
      </c>
    </row>
    <row r="321">
      <c r="B321" s="2">
        <v>46176.0</v>
      </c>
      <c r="C321" s="3">
        <v>0.375</v>
      </c>
      <c r="D321" s="3">
        <v>0.4166666666666667</v>
      </c>
      <c r="E321" s="3">
        <v>0.40069444444444446</v>
      </c>
      <c r="F321" s="3">
        <v>0.43819444444444444</v>
      </c>
      <c r="G321" s="1">
        <v>9.8615167669E10</v>
      </c>
      <c r="H321" s="1" t="s">
        <v>479</v>
      </c>
      <c r="J321" s="1" t="s">
        <v>32</v>
      </c>
      <c r="K321" s="4">
        <f>+5218184708396</f>
        <v>5218184708396</v>
      </c>
      <c r="L321" s="1" t="s">
        <v>47</v>
      </c>
      <c r="M321" s="1" t="s">
        <v>48</v>
      </c>
      <c r="N321" s="1" t="s">
        <v>480</v>
      </c>
      <c r="P321" s="1">
        <v>0.0</v>
      </c>
      <c r="R321" s="1" t="s">
        <v>45</v>
      </c>
      <c r="S321" s="1" t="s">
        <v>45</v>
      </c>
      <c r="U321" s="1" t="s">
        <v>36</v>
      </c>
      <c r="V321" s="1">
        <v>14.0</v>
      </c>
      <c r="W321" s="1">
        <v>40.0</v>
      </c>
      <c r="X321" s="1">
        <v>54.0</v>
      </c>
      <c r="Y321" s="1" t="s">
        <v>50</v>
      </c>
      <c r="AA321" s="1" t="s">
        <v>38</v>
      </c>
      <c r="AB321" s="1">
        <v>0.0</v>
      </c>
      <c r="AC321" s="1">
        <v>0.0</v>
      </c>
      <c r="AD321" s="1">
        <v>0.0</v>
      </c>
      <c r="AE321" s="6">
        <v>0.41041666666666665</v>
      </c>
      <c r="AF321" s="1" t="s">
        <v>39</v>
      </c>
    </row>
    <row r="322">
      <c r="B322" s="2">
        <v>46176.0</v>
      </c>
      <c r="C322" s="3">
        <v>0.4166666666666667</v>
      </c>
      <c r="D322" s="3">
        <v>0.4583333333333333</v>
      </c>
      <c r="E322" s="3">
        <v>0.4166666666666667</v>
      </c>
      <c r="F322" s="3">
        <v>0.44513888888888886</v>
      </c>
      <c r="G322" s="1">
        <v>2.24587792802E11</v>
      </c>
      <c r="H322" s="1" t="s">
        <v>481</v>
      </c>
      <c r="J322" s="1" t="s">
        <v>32</v>
      </c>
      <c r="K322" s="4" t="str">
        <f>+52 33 1466 6660</f>
        <v>#ERROR!</v>
      </c>
      <c r="L322" s="1" t="s">
        <v>205</v>
      </c>
      <c r="M322" s="1" t="s">
        <v>48</v>
      </c>
      <c r="N322" s="1" t="s">
        <v>482</v>
      </c>
      <c r="P322" s="1">
        <v>0.0</v>
      </c>
      <c r="Q322" s="1">
        <v>0.0</v>
      </c>
      <c r="R322" s="1" t="s">
        <v>236</v>
      </c>
      <c r="S322" s="1" t="s">
        <v>236</v>
      </c>
      <c r="U322" s="1" t="s">
        <v>55</v>
      </c>
      <c r="V322" s="1">
        <v>25.0</v>
      </c>
      <c r="W322" s="1">
        <v>16.0</v>
      </c>
      <c r="X322" s="1">
        <v>41.0</v>
      </c>
      <c r="Y322" s="1" t="s">
        <v>50</v>
      </c>
      <c r="AA322" s="1" t="s">
        <v>38</v>
      </c>
      <c r="AB322" s="1">
        <v>0.0</v>
      </c>
      <c r="AC322" s="1">
        <v>0.0</v>
      </c>
      <c r="AD322" s="1">
        <v>0.0</v>
      </c>
      <c r="AE322" s="6">
        <v>0.4340277777777778</v>
      </c>
      <c r="AF322" s="1" t="s">
        <v>39</v>
      </c>
    </row>
    <row r="323">
      <c r="B323" s="2">
        <v>46176.0</v>
      </c>
      <c r="C323" s="3">
        <v>0.4583333333333333</v>
      </c>
      <c r="D323" s="3">
        <v>0.4895833333333333</v>
      </c>
      <c r="E323" s="3">
        <v>0.4583333333333333</v>
      </c>
      <c r="F323" s="3">
        <v>0.4777777777777778</v>
      </c>
      <c r="G323" s="1">
        <v>2.23769227031E11</v>
      </c>
      <c r="H323" s="1" t="s">
        <v>483</v>
      </c>
      <c r="J323" s="1" t="s">
        <v>32</v>
      </c>
      <c r="K323" s="4">
        <f>+523781220416</f>
        <v>523781220416</v>
      </c>
      <c r="L323" s="1" t="s">
        <v>247</v>
      </c>
      <c r="M323" s="1" t="s">
        <v>42</v>
      </c>
      <c r="N323" s="1" t="s">
        <v>484</v>
      </c>
      <c r="P323" s="5">
        <v>0.0</v>
      </c>
      <c r="R323" s="1" t="s">
        <v>53</v>
      </c>
      <c r="S323" s="1" t="s">
        <v>53</v>
      </c>
      <c r="U323" s="1" t="s">
        <v>55</v>
      </c>
      <c r="V323" s="1">
        <v>0.0</v>
      </c>
      <c r="W323" s="1">
        <v>28.0</v>
      </c>
      <c r="X323" s="1">
        <v>28.0</v>
      </c>
      <c r="Y323" s="1" t="s">
        <v>50</v>
      </c>
      <c r="AA323" s="1" t="s">
        <v>38</v>
      </c>
      <c r="AB323" s="1">
        <v>0.0</v>
      </c>
      <c r="AC323" s="1">
        <v>0.0</v>
      </c>
      <c r="AD323" s="1">
        <v>0.0</v>
      </c>
      <c r="AE323" s="6">
        <v>0.4583333333333333</v>
      </c>
      <c r="AF323" s="1" t="s">
        <v>39</v>
      </c>
    </row>
    <row r="324">
      <c r="B324" s="2">
        <v>46175.0</v>
      </c>
      <c r="C324" s="3">
        <v>0.6666666666666666</v>
      </c>
      <c r="D324" s="3">
        <v>0.7083333333333334</v>
      </c>
      <c r="E324" s="3">
        <v>0.6666666666666666</v>
      </c>
      <c r="F324" s="3">
        <v>0.7333333333333333</v>
      </c>
      <c r="G324" s="1">
        <v>2.25584712E11</v>
      </c>
      <c r="H324" s="1" t="s">
        <v>485</v>
      </c>
      <c r="J324" s="1" t="s">
        <v>32</v>
      </c>
      <c r="K324" s="4">
        <f>+17726261839</f>
        <v>17726261839</v>
      </c>
      <c r="L324" s="1" t="s">
        <v>105</v>
      </c>
      <c r="M324" s="1" t="s">
        <v>48</v>
      </c>
      <c r="N324" s="1" t="s">
        <v>486</v>
      </c>
      <c r="P324" s="1">
        <v>0.0</v>
      </c>
      <c r="R324" s="1" t="s">
        <v>70</v>
      </c>
      <c r="S324" s="1" t="s">
        <v>70</v>
      </c>
      <c r="T324" s="1" t="s">
        <v>35</v>
      </c>
      <c r="U324" s="1" t="s">
        <v>36</v>
      </c>
      <c r="V324" s="1">
        <v>95.0</v>
      </c>
      <c r="W324" s="1">
        <v>1.0</v>
      </c>
      <c r="X324" s="1">
        <v>96.0</v>
      </c>
      <c r="Y324" s="1" t="s">
        <v>50</v>
      </c>
      <c r="AA324" s="1" t="s">
        <v>38</v>
      </c>
      <c r="AB324" s="1">
        <v>0.0</v>
      </c>
      <c r="AC324" s="1">
        <v>0.0</v>
      </c>
      <c r="AD324" s="1">
        <v>0.0</v>
      </c>
      <c r="AE324" s="6">
        <v>0.7326388888888888</v>
      </c>
      <c r="AF324" s="1" t="s">
        <v>39</v>
      </c>
    </row>
    <row r="325">
      <c r="B325" s="2">
        <v>46175.0</v>
      </c>
      <c r="C325" s="3">
        <v>0.5416666666666666</v>
      </c>
      <c r="D325" s="3">
        <v>0.5486111111111112</v>
      </c>
      <c r="E325" s="3">
        <v>0.5416666666666666</v>
      </c>
      <c r="F325" s="3">
        <v>0.5361111111111111</v>
      </c>
      <c r="G325" s="1">
        <v>2.05636779349E11</v>
      </c>
      <c r="H325" s="1" t="s">
        <v>31</v>
      </c>
      <c r="J325" s="1" t="s">
        <v>32</v>
      </c>
      <c r="K325" s="4">
        <f>+17622019615</f>
        <v>17622019615</v>
      </c>
      <c r="L325" s="1" t="s">
        <v>41</v>
      </c>
      <c r="M325" s="1" t="s">
        <v>42</v>
      </c>
      <c r="N325" s="1" t="s">
        <v>487</v>
      </c>
      <c r="P325" s="1">
        <v>0.0</v>
      </c>
      <c r="R325" s="1" t="s">
        <v>44</v>
      </c>
      <c r="S325" s="1" t="s">
        <v>35</v>
      </c>
      <c r="U325" s="1" t="s">
        <v>36</v>
      </c>
      <c r="V325" s="1">
        <v>0.0</v>
      </c>
      <c r="W325" s="1">
        <v>-8.0</v>
      </c>
      <c r="X325" s="1">
        <v>-8.0</v>
      </c>
      <c r="Y325" s="1" t="s">
        <v>99</v>
      </c>
      <c r="AA325" s="1" t="s">
        <v>38</v>
      </c>
      <c r="AB325" s="1">
        <v>0.0</v>
      </c>
      <c r="AC325" s="1">
        <v>0.0</v>
      </c>
      <c r="AD325" s="1">
        <v>0.0</v>
      </c>
      <c r="AE325" s="6">
        <v>0.5416666666666666</v>
      </c>
      <c r="AF325" s="1" t="s">
        <v>39</v>
      </c>
    </row>
    <row r="326">
      <c r="B326" s="2">
        <v>46175.0</v>
      </c>
      <c r="C326" s="3">
        <v>0.5</v>
      </c>
      <c r="D326" s="3">
        <v>0.5069444444444444</v>
      </c>
      <c r="E326" s="3">
        <v>0.5</v>
      </c>
      <c r="F326" s="3">
        <v>0.5166666666666667</v>
      </c>
      <c r="G326" s="1">
        <v>2.02433407092E11</v>
      </c>
      <c r="H326" s="1" t="s">
        <v>411</v>
      </c>
      <c r="J326" s="1" t="s">
        <v>32</v>
      </c>
      <c r="K326" s="4">
        <f>+523313403443</f>
        <v>523313403443</v>
      </c>
      <c r="L326" s="1" t="s">
        <v>41</v>
      </c>
      <c r="M326" s="1" t="s">
        <v>42</v>
      </c>
      <c r="N326" s="1" t="s">
        <v>488</v>
      </c>
      <c r="P326" s="5">
        <v>0.0</v>
      </c>
      <c r="R326" s="1" t="s">
        <v>44</v>
      </c>
      <c r="S326" s="1" t="s">
        <v>62</v>
      </c>
      <c r="U326" s="1" t="s">
        <v>36</v>
      </c>
      <c r="V326" s="1">
        <v>0.0</v>
      </c>
      <c r="W326" s="1">
        <v>24.0</v>
      </c>
      <c r="X326" s="1">
        <v>24.0</v>
      </c>
      <c r="Y326" s="1" t="s">
        <v>99</v>
      </c>
      <c r="AA326" s="1" t="s">
        <v>38</v>
      </c>
      <c r="AB326" s="1">
        <v>0.0</v>
      </c>
      <c r="AC326" s="1">
        <v>0.0</v>
      </c>
      <c r="AD326" s="1">
        <v>0.0</v>
      </c>
      <c r="AE326" s="6">
        <v>0.5</v>
      </c>
      <c r="AF326" s="1" t="s">
        <v>39</v>
      </c>
    </row>
    <row r="327">
      <c r="B327" s="2">
        <v>46175.0</v>
      </c>
      <c r="C327" s="3">
        <v>0.4166666666666667</v>
      </c>
      <c r="D327" s="3">
        <v>0.4236111111111111</v>
      </c>
      <c r="E327" s="3">
        <v>0.4166666666666667</v>
      </c>
      <c r="F327" s="3">
        <v>0.45</v>
      </c>
      <c r="G327" s="1">
        <v>2.2543506901E11</v>
      </c>
      <c r="H327" s="1" t="s">
        <v>384</v>
      </c>
      <c r="J327" s="1" t="s">
        <v>32</v>
      </c>
      <c r="K327" s="4">
        <f>+5213319181515</f>
        <v>5213319181515</v>
      </c>
      <c r="L327" s="1" t="s">
        <v>41</v>
      </c>
      <c r="M327" s="1" t="s">
        <v>42</v>
      </c>
      <c r="N327" s="1" t="s">
        <v>489</v>
      </c>
      <c r="P327" s="5">
        <v>0.0</v>
      </c>
      <c r="R327" s="1" t="s">
        <v>44</v>
      </c>
      <c r="S327" s="1" t="s">
        <v>45</v>
      </c>
      <c r="U327" s="1" t="s">
        <v>36</v>
      </c>
      <c r="V327" s="1">
        <v>38.0</v>
      </c>
      <c r="W327" s="1">
        <v>10.0</v>
      </c>
      <c r="X327" s="1">
        <v>48.0</v>
      </c>
      <c r="Y327" s="1" t="s">
        <v>81</v>
      </c>
      <c r="AA327" s="1" t="s">
        <v>38</v>
      </c>
      <c r="AB327" s="1">
        <v>0.0</v>
      </c>
      <c r="AC327" s="1">
        <v>0.0</v>
      </c>
      <c r="AD327" s="1">
        <v>0.0</v>
      </c>
      <c r="AE327" s="6">
        <v>0.44305555555555554</v>
      </c>
      <c r="AF327" s="1" t="s">
        <v>39</v>
      </c>
    </row>
    <row r="328">
      <c r="B328" s="2">
        <v>46175.0</v>
      </c>
      <c r="C328" s="3">
        <v>0.375</v>
      </c>
      <c r="D328" s="3">
        <v>0.3958333333333333</v>
      </c>
      <c r="E328" s="3">
        <v>0.375</v>
      </c>
      <c r="F328" s="3">
        <v>0.4222222222222222</v>
      </c>
      <c r="G328" s="7"/>
      <c r="H328" s="1" t="s">
        <v>434</v>
      </c>
      <c r="J328" s="1" t="s">
        <v>32</v>
      </c>
      <c r="K328" s="1" t="s">
        <v>435</v>
      </c>
      <c r="L328" s="1" t="s">
        <v>121</v>
      </c>
      <c r="M328" s="1" t="s">
        <v>59</v>
      </c>
      <c r="N328" s="1" t="s">
        <v>490</v>
      </c>
      <c r="P328" s="1">
        <v>0.0</v>
      </c>
      <c r="R328" s="1" t="s">
        <v>62</v>
      </c>
      <c r="S328" s="1" t="s">
        <v>62</v>
      </c>
      <c r="U328" s="1" t="s">
        <v>55</v>
      </c>
      <c r="V328" s="1">
        <v>21.0</v>
      </c>
      <c r="W328" s="1">
        <v>47.0</v>
      </c>
      <c r="X328" s="1">
        <v>68.0</v>
      </c>
      <c r="Y328" s="1" t="s">
        <v>56</v>
      </c>
      <c r="AB328" s="1">
        <v>0.0</v>
      </c>
      <c r="AC328" s="1">
        <v>0.0</v>
      </c>
      <c r="AD328" s="1">
        <v>0.0</v>
      </c>
      <c r="AE328" s="6">
        <v>0.38958333333333334</v>
      </c>
      <c r="AF328" s="1" t="s">
        <v>39</v>
      </c>
    </row>
    <row r="329">
      <c r="B329" s="2">
        <v>46175.0</v>
      </c>
      <c r="C329" s="3">
        <v>0.4166666666666667</v>
      </c>
      <c r="D329" s="3">
        <v>0.4583333333333333</v>
      </c>
      <c r="E329" s="3">
        <v>0.4166666666666667</v>
      </c>
      <c r="F329" s="3">
        <v>0.5020833333333333</v>
      </c>
      <c r="G329" s="1">
        <v>1.2557117853E11</v>
      </c>
      <c r="H329" s="1" t="s">
        <v>240</v>
      </c>
      <c r="J329" s="1" t="s">
        <v>32</v>
      </c>
      <c r="K329" s="4">
        <f>+5213311595445</f>
        <v>5213311595445</v>
      </c>
      <c r="L329" s="1" t="s">
        <v>241</v>
      </c>
      <c r="M329" s="1" t="s">
        <v>34</v>
      </c>
      <c r="N329" s="1" t="s">
        <v>491</v>
      </c>
      <c r="P329" s="5">
        <v>4995.0</v>
      </c>
      <c r="R329" s="1" t="s">
        <v>62</v>
      </c>
      <c r="S329" s="1" t="s">
        <v>62</v>
      </c>
      <c r="U329" s="1" t="s">
        <v>36</v>
      </c>
      <c r="V329" s="1">
        <v>39.0</v>
      </c>
      <c r="W329" s="1">
        <v>84.0</v>
      </c>
      <c r="X329" s="1">
        <v>123.0</v>
      </c>
      <c r="Y329" s="1" t="s">
        <v>50</v>
      </c>
      <c r="AA329" s="1" t="s">
        <v>38</v>
      </c>
      <c r="AB329" s="1">
        <v>0.0</v>
      </c>
      <c r="AC329" s="1">
        <v>0.0</v>
      </c>
      <c r="AD329" s="1">
        <v>0.0</v>
      </c>
      <c r="AE329" s="6">
        <v>0.44375</v>
      </c>
      <c r="AF329" s="1" t="s">
        <v>39</v>
      </c>
    </row>
    <row r="330">
      <c r="B330" s="2">
        <v>46175.0</v>
      </c>
      <c r="C330" s="3">
        <v>0.4583333333333333</v>
      </c>
      <c r="D330" s="3">
        <v>0.4722222222222222</v>
      </c>
      <c r="E330" s="3">
        <v>0.4583333333333333</v>
      </c>
      <c r="F330" s="3">
        <v>0.4888888888888889</v>
      </c>
      <c r="G330" s="1">
        <v>1.05708079951E11</v>
      </c>
      <c r="H330" s="1" t="s">
        <v>492</v>
      </c>
      <c r="J330" s="1" t="s">
        <v>32</v>
      </c>
      <c r="K330" s="4">
        <f>+523339557871</f>
        <v>523339557871</v>
      </c>
      <c r="L330" s="1" t="s">
        <v>162</v>
      </c>
      <c r="M330" s="1" t="s">
        <v>34</v>
      </c>
      <c r="N330" s="1" t="s">
        <v>68</v>
      </c>
      <c r="P330" s="1">
        <v>0.0</v>
      </c>
      <c r="R330" s="1" t="s">
        <v>62</v>
      </c>
      <c r="S330" s="1" t="s">
        <v>62</v>
      </c>
      <c r="U330" s="1" t="s">
        <v>36</v>
      </c>
      <c r="V330" s="1">
        <v>31.0</v>
      </c>
      <c r="W330" s="1">
        <v>13.0</v>
      </c>
      <c r="X330" s="1">
        <v>44.0</v>
      </c>
      <c r="Y330" s="1" t="s">
        <v>50</v>
      </c>
      <c r="AA330" s="1" t="s">
        <v>38</v>
      </c>
      <c r="AB330" s="1">
        <v>0.0</v>
      </c>
      <c r="AC330" s="1">
        <v>0.0</v>
      </c>
      <c r="AD330" s="1">
        <v>0.0</v>
      </c>
      <c r="AE330" s="6">
        <v>0.4798611111111111</v>
      </c>
      <c r="AF330" s="1" t="s">
        <v>39</v>
      </c>
    </row>
    <row r="331">
      <c r="B331" s="2">
        <v>46175.0</v>
      </c>
      <c r="C331" s="3">
        <v>0.5</v>
      </c>
      <c r="D331" s="3">
        <v>0.5208333333333334</v>
      </c>
      <c r="E331" s="3">
        <v>0.5</v>
      </c>
      <c r="F331" s="3">
        <v>0.6715277777777777</v>
      </c>
      <c r="G331" s="1">
        <v>2.02433407092E11</v>
      </c>
      <c r="H331" s="1" t="s">
        <v>411</v>
      </c>
      <c r="J331" s="1" t="s">
        <v>32</v>
      </c>
      <c r="K331" s="4">
        <f>+523313403443</f>
        <v>523313403443</v>
      </c>
      <c r="L331" s="1" t="s">
        <v>66</v>
      </c>
      <c r="M331" s="1" t="s">
        <v>34</v>
      </c>
      <c r="N331" s="1" t="s">
        <v>68</v>
      </c>
      <c r="P331" s="5">
        <v>0.0</v>
      </c>
      <c r="R331" s="1" t="s">
        <v>62</v>
      </c>
      <c r="S331" s="1" t="s">
        <v>62</v>
      </c>
      <c r="U331" s="1" t="s">
        <v>36</v>
      </c>
      <c r="V331" s="1">
        <v>-26.0</v>
      </c>
      <c r="W331" s="1">
        <v>273.0</v>
      </c>
      <c r="X331" s="1">
        <v>247.0</v>
      </c>
      <c r="Y331" s="1" t="s">
        <v>50</v>
      </c>
      <c r="AA331" s="1" t="s">
        <v>38</v>
      </c>
      <c r="AB331" s="1">
        <v>0.0</v>
      </c>
      <c r="AC331" s="1">
        <v>0.0</v>
      </c>
      <c r="AD331" s="1">
        <v>0.0</v>
      </c>
      <c r="AE331" s="6">
        <v>0.48194444444444445</v>
      </c>
      <c r="AF331" s="1" t="s">
        <v>39</v>
      </c>
    </row>
    <row r="332">
      <c r="B332" s="2">
        <v>46175.0</v>
      </c>
      <c r="C332" s="3">
        <v>0.4583333333333333</v>
      </c>
      <c r="D332" s="3">
        <v>0.4895833333333333</v>
      </c>
      <c r="E332" s="3">
        <v>0.4583333333333333</v>
      </c>
      <c r="F332" s="3">
        <v>0.5298611111111111</v>
      </c>
      <c r="G332" s="1">
        <v>2.15663555676E11</v>
      </c>
      <c r="H332" s="1" t="s">
        <v>222</v>
      </c>
      <c r="J332" s="1" t="s">
        <v>32</v>
      </c>
      <c r="K332" s="4" t="str">
        <f>+52 33 1118 6848</f>
        <v>#ERROR!</v>
      </c>
      <c r="L332" s="1" t="s">
        <v>223</v>
      </c>
      <c r="M332" s="1" t="s">
        <v>42</v>
      </c>
      <c r="P332" s="5">
        <v>0.0</v>
      </c>
      <c r="R332" s="1" t="s">
        <v>53</v>
      </c>
      <c r="S332" s="1" t="s">
        <v>35</v>
      </c>
      <c r="U332" s="1" t="s">
        <v>36</v>
      </c>
      <c r="V332" s="1">
        <v>0.0</v>
      </c>
      <c r="W332" s="1">
        <v>103.0</v>
      </c>
      <c r="X332" s="1">
        <v>103.0</v>
      </c>
      <c r="Y332" s="1" t="s">
        <v>37</v>
      </c>
      <c r="AA332" s="1" t="s">
        <v>38</v>
      </c>
      <c r="AB332" s="1">
        <v>0.0</v>
      </c>
      <c r="AC332" s="1">
        <v>0.0</v>
      </c>
      <c r="AD332" s="1">
        <v>0.0</v>
      </c>
      <c r="AE332" s="6">
        <v>0.4583333333333333</v>
      </c>
      <c r="AF332" s="1" t="s">
        <v>39</v>
      </c>
    </row>
    <row r="333">
      <c r="B333" s="2">
        <v>46175.0</v>
      </c>
      <c r="C333" s="3">
        <v>0.7083333333333334</v>
      </c>
      <c r="D333" s="3">
        <v>0.75</v>
      </c>
      <c r="E333" s="3">
        <v>0.7083333333333334</v>
      </c>
      <c r="F333" s="3">
        <v>0.7333333333333333</v>
      </c>
      <c r="G333" s="1">
        <v>2.24840953259E11</v>
      </c>
      <c r="H333" s="1" t="s">
        <v>437</v>
      </c>
      <c r="J333" s="1" t="s">
        <v>32</v>
      </c>
      <c r="K333" s="4">
        <f>+523327870829</f>
        <v>523327870829</v>
      </c>
      <c r="L333" s="1" t="s">
        <v>83</v>
      </c>
      <c r="M333" s="1" t="s">
        <v>48</v>
      </c>
      <c r="N333" s="1" t="s">
        <v>493</v>
      </c>
      <c r="P333" s="5">
        <v>0.0</v>
      </c>
      <c r="R333" s="1" t="s">
        <v>70</v>
      </c>
      <c r="S333" s="1" t="s">
        <v>70</v>
      </c>
      <c r="U333" s="1" t="s">
        <v>36</v>
      </c>
      <c r="V333" s="1">
        <v>0.0</v>
      </c>
      <c r="W333" s="1">
        <v>36.0</v>
      </c>
      <c r="X333" s="1">
        <v>36.0</v>
      </c>
      <c r="Y333" s="1" t="s">
        <v>50</v>
      </c>
      <c r="AA333" s="1" t="s">
        <v>38</v>
      </c>
      <c r="AB333" s="1">
        <v>0.0</v>
      </c>
      <c r="AC333" s="1">
        <v>0.0</v>
      </c>
      <c r="AD333" s="1">
        <v>0.0</v>
      </c>
      <c r="AE333" s="6">
        <v>0.7083333333333334</v>
      </c>
      <c r="AF333" s="1" t="s">
        <v>39</v>
      </c>
    </row>
    <row r="334">
      <c r="B334" s="2">
        <v>46175.0</v>
      </c>
      <c r="C334" s="3">
        <v>0.5833333333333334</v>
      </c>
      <c r="D334" s="3">
        <v>0.625</v>
      </c>
      <c r="E334" s="3">
        <v>0.5736111111111111</v>
      </c>
      <c r="F334" s="3">
        <v>0.6298611111111111</v>
      </c>
      <c r="H334" s="1" t="s">
        <v>420</v>
      </c>
      <c r="J334" s="1" t="s">
        <v>32</v>
      </c>
      <c r="K334" s="1">
        <v>5.613664957E9</v>
      </c>
      <c r="L334" s="1" t="s">
        <v>83</v>
      </c>
      <c r="M334" s="1" t="s">
        <v>48</v>
      </c>
      <c r="N334" s="1" t="s">
        <v>494</v>
      </c>
      <c r="P334" s="5">
        <v>0.0</v>
      </c>
      <c r="R334" s="1" t="s">
        <v>35</v>
      </c>
      <c r="S334" s="1" t="s">
        <v>35</v>
      </c>
      <c r="U334" s="1" t="s">
        <v>55</v>
      </c>
      <c r="V334" s="1">
        <v>0.0</v>
      </c>
      <c r="W334" s="1">
        <v>81.0</v>
      </c>
      <c r="X334" s="1">
        <v>81.0</v>
      </c>
      <c r="Y334" s="1" t="s">
        <v>81</v>
      </c>
      <c r="AA334" s="1" t="s">
        <v>38</v>
      </c>
      <c r="AB334" s="1">
        <v>0.0</v>
      </c>
      <c r="AC334" s="1">
        <v>0.0</v>
      </c>
      <c r="AD334" s="1">
        <v>0.0</v>
      </c>
      <c r="AE334" s="6">
        <v>0.5736111111111111</v>
      </c>
      <c r="AF334" s="1" t="s">
        <v>39</v>
      </c>
    </row>
    <row r="335">
      <c r="B335" s="2">
        <v>46175.0</v>
      </c>
      <c r="C335" s="3">
        <v>0.3333333333333333</v>
      </c>
      <c r="D335" s="3">
        <v>0.3402777777777778</v>
      </c>
      <c r="E335" s="3">
        <v>0.3333333333333333</v>
      </c>
      <c r="F335" s="3">
        <v>0.35347222222222224</v>
      </c>
      <c r="G335" s="1">
        <v>2.24587792802E11</v>
      </c>
      <c r="H335" s="1" t="s">
        <v>481</v>
      </c>
      <c r="J335" s="1" t="s">
        <v>32</v>
      </c>
      <c r="K335" s="4" t="str">
        <f>+52 33 1466 6660</f>
        <v>#ERROR!</v>
      </c>
      <c r="L335" s="1" t="s">
        <v>41</v>
      </c>
      <c r="M335" s="1" t="s">
        <v>42</v>
      </c>
      <c r="N335" s="1" t="s">
        <v>495</v>
      </c>
      <c r="P335" s="5">
        <v>0.0</v>
      </c>
      <c r="Q335" s="1">
        <v>0.0</v>
      </c>
      <c r="R335" s="1" t="s">
        <v>44</v>
      </c>
      <c r="S335" s="1" t="s">
        <v>236</v>
      </c>
      <c r="U335" s="1" t="s">
        <v>55</v>
      </c>
      <c r="V335" s="1">
        <v>0.0</v>
      </c>
      <c r="W335" s="1">
        <v>29.0</v>
      </c>
      <c r="X335" s="1">
        <v>29.0</v>
      </c>
      <c r="Y335" s="1" t="s">
        <v>46</v>
      </c>
      <c r="AA335" s="1" t="s">
        <v>38</v>
      </c>
      <c r="AB335" s="1">
        <v>0.0</v>
      </c>
      <c r="AC335" s="1">
        <v>0.0</v>
      </c>
      <c r="AD335" s="1">
        <v>0.0</v>
      </c>
      <c r="AE335" s="6">
        <v>0.3333333333333333</v>
      </c>
      <c r="AF335" s="1" t="s">
        <v>39</v>
      </c>
    </row>
    <row r="336">
      <c r="B336" s="2">
        <v>46175.0</v>
      </c>
      <c r="C336" s="3">
        <v>0.3333333333333333</v>
      </c>
      <c r="D336" s="3">
        <v>0.3645833333333333</v>
      </c>
      <c r="E336" s="3">
        <v>0.3333333333333333</v>
      </c>
      <c r="F336" s="3">
        <v>0.36875</v>
      </c>
      <c r="H336" s="1" t="s">
        <v>496</v>
      </c>
      <c r="J336" s="1" t="s">
        <v>32</v>
      </c>
      <c r="K336" s="1">
        <v>5.2331466666E11</v>
      </c>
      <c r="L336" s="1" t="s">
        <v>75</v>
      </c>
      <c r="M336" s="1" t="s">
        <v>42</v>
      </c>
      <c r="N336" s="1" t="s">
        <v>497</v>
      </c>
      <c r="P336" s="5">
        <v>0.0</v>
      </c>
      <c r="Q336" s="1">
        <v>0.0</v>
      </c>
      <c r="R336" s="1" t="s">
        <v>53</v>
      </c>
      <c r="S336" s="1" t="s">
        <v>236</v>
      </c>
      <c r="U336" s="1" t="s">
        <v>55</v>
      </c>
      <c r="V336" s="1">
        <v>30.0</v>
      </c>
      <c r="W336" s="1">
        <v>21.0</v>
      </c>
      <c r="X336" s="1">
        <v>51.0</v>
      </c>
      <c r="Y336" s="1" t="s">
        <v>46</v>
      </c>
      <c r="AA336" s="1" t="s">
        <v>38</v>
      </c>
      <c r="AB336" s="1">
        <v>0.0</v>
      </c>
      <c r="AC336" s="1">
        <v>0.0</v>
      </c>
      <c r="AD336" s="1">
        <v>0.0</v>
      </c>
      <c r="AE336" s="6">
        <v>0.3541666666666667</v>
      </c>
      <c r="AF336" s="1" t="s">
        <v>39</v>
      </c>
    </row>
    <row r="337">
      <c r="B337" s="2">
        <v>46175.0</v>
      </c>
      <c r="C337" s="3">
        <v>0.4166666666666667</v>
      </c>
      <c r="D337" s="3">
        <v>0.4583333333333333</v>
      </c>
      <c r="E337" s="3">
        <v>0.4166666666666667</v>
      </c>
      <c r="F337" s="3">
        <v>0.4791666666666667</v>
      </c>
      <c r="G337" s="1">
        <v>2.24542660427E11</v>
      </c>
      <c r="H337" s="1" t="s">
        <v>149</v>
      </c>
      <c r="J337" s="1" t="s">
        <v>32</v>
      </c>
      <c r="K337" s="4">
        <f>+523142175992</f>
        <v>523142175992</v>
      </c>
      <c r="L337" s="1" t="s">
        <v>289</v>
      </c>
      <c r="M337" s="1" t="s">
        <v>48</v>
      </c>
      <c r="N337" s="1" t="s">
        <v>498</v>
      </c>
      <c r="P337" s="5">
        <v>0.0</v>
      </c>
      <c r="Q337" s="1">
        <v>0.0</v>
      </c>
      <c r="R337" s="1" t="s">
        <v>45</v>
      </c>
      <c r="S337" s="1" t="s">
        <v>45</v>
      </c>
      <c r="U337" s="1" t="s">
        <v>36</v>
      </c>
      <c r="V337" s="1">
        <v>38.0</v>
      </c>
      <c r="W337" s="1">
        <v>52.0</v>
      </c>
      <c r="X337" s="1">
        <v>90.0</v>
      </c>
      <c r="Y337" s="1" t="s">
        <v>50</v>
      </c>
      <c r="AA337" s="1" t="s">
        <v>38</v>
      </c>
      <c r="AB337" s="1">
        <v>0.0</v>
      </c>
      <c r="AC337" s="1">
        <v>0.0</v>
      </c>
      <c r="AD337" s="1">
        <v>0.0</v>
      </c>
      <c r="AE337" s="6">
        <v>0.44305555555555554</v>
      </c>
      <c r="AF337" s="1" t="s">
        <v>39</v>
      </c>
    </row>
    <row r="338">
      <c r="B338" s="2">
        <v>46175.0</v>
      </c>
      <c r="C338" s="3">
        <v>0.375</v>
      </c>
      <c r="D338" s="3">
        <v>0.40625</v>
      </c>
      <c r="E338" s="3">
        <v>0.375</v>
      </c>
      <c r="F338" s="3">
        <v>0.3902777777777778</v>
      </c>
      <c r="H338" s="1" t="s">
        <v>499</v>
      </c>
      <c r="J338" s="1" t="s">
        <v>32</v>
      </c>
      <c r="K338" s="1">
        <v>3.332701319E9</v>
      </c>
      <c r="L338" s="1" t="s">
        <v>75</v>
      </c>
      <c r="M338" s="1" t="s">
        <v>42</v>
      </c>
      <c r="N338" s="1" t="s">
        <v>145</v>
      </c>
      <c r="P338" s="1">
        <v>0.0</v>
      </c>
      <c r="Q338" s="1">
        <v>0.0</v>
      </c>
      <c r="R338" s="1" t="s">
        <v>53</v>
      </c>
      <c r="U338" s="1" t="s">
        <v>55</v>
      </c>
      <c r="V338" s="1">
        <v>21.0</v>
      </c>
      <c r="W338" s="1">
        <v>1.0</v>
      </c>
      <c r="X338" s="1">
        <v>22.0</v>
      </c>
      <c r="Y338" s="1" t="s">
        <v>81</v>
      </c>
      <c r="AA338" s="1" t="s">
        <v>38</v>
      </c>
      <c r="AB338" s="1">
        <v>0.0</v>
      </c>
      <c r="AC338" s="1">
        <v>0.0</v>
      </c>
      <c r="AD338" s="1">
        <v>0.0</v>
      </c>
      <c r="AE338" s="6">
        <v>0.38958333333333334</v>
      </c>
      <c r="AF338" s="1" t="s">
        <v>39</v>
      </c>
    </row>
    <row r="339">
      <c r="B339" s="2">
        <v>46175.0</v>
      </c>
      <c r="C339" s="3">
        <v>0.375</v>
      </c>
      <c r="D339" s="3">
        <v>0.3819444444444444</v>
      </c>
      <c r="E339" s="3">
        <v>0.375</v>
      </c>
      <c r="F339" s="3">
        <v>0.3902777777777778</v>
      </c>
      <c r="G339" s="1">
        <v>2.23748980056E11</v>
      </c>
      <c r="H339" s="1" t="s">
        <v>500</v>
      </c>
      <c r="J339" s="1" t="s">
        <v>32</v>
      </c>
      <c r="K339" s="4">
        <f>+5213332701319</f>
        <v>5213332701319</v>
      </c>
      <c r="L339" s="1" t="s">
        <v>41</v>
      </c>
      <c r="M339" s="1" t="s">
        <v>42</v>
      </c>
      <c r="N339" s="1" t="s">
        <v>501</v>
      </c>
      <c r="P339" s="1">
        <v>0.0</v>
      </c>
      <c r="Q339" s="1">
        <v>0.0</v>
      </c>
      <c r="R339" s="1" t="s">
        <v>44</v>
      </c>
      <c r="S339" s="1" t="s">
        <v>44</v>
      </c>
      <c r="U339" s="1" t="s">
        <v>36</v>
      </c>
      <c r="V339" s="1">
        <v>0.0</v>
      </c>
      <c r="W339" s="1">
        <v>22.0</v>
      </c>
      <c r="X339" s="1">
        <v>22.0</v>
      </c>
      <c r="Y339" s="1" t="s">
        <v>50</v>
      </c>
      <c r="AA339" s="1" t="s">
        <v>38</v>
      </c>
      <c r="AB339" s="1">
        <v>0.0</v>
      </c>
      <c r="AC339" s="1">
        <v>0.0</v>
      </c>
      <c r="AD339" s="1">
        <v>0.0</v>
      </c>
      <c r="AE339" s="6">
        <v>0.375</v>
      </c>
      <c r="AF339" s="1" t="s">
        <v>39</v>
      </c>
    </row>
    <row r="340">
      <c r="B340" s="2">
        <v>46175.0</v>
      </c>
      <c r="C340" s="3">
        <v>0.7916666666666666</v>
      </c>
      <c r="D340" s="3">
        <v>0.8333333333333334</v>
      </c>
      <c r="E340" s="3">
        <v>0.7916666666666666</v>
      </c>
      <c r="F340" s="3">
        <v>0.83125</v>
      </c>
      <c r="G340" s="7">
        <v>2.21199535154E11</v>
      </c>
      <c r="H340" s="1" t="s">
        <v>419</v>
      </c>
      <c r="J340" s="1" t="s">
        <v>32</v>
      </c>
      <c r="K340" s="4">
        <f>+5213313106647</f>
        <v>5213313106647</v>
      </c>
      <c r="L340" s="1" t="s">
        <v>380</v>
      </c>
      <c r="M340" s="1" t="s">
        <v>48</v>
      </c>
      <c r="N340" s="1" t="s">
        <v>493</v>
      </c>
      <c r="P340" s="1">
        <v>0.0</v>
      </c>
      <c r="R340" s="1" t="s">
        <v>35</v>
      </c>
      <c r="S340" s="1" t="s">
        <v>35</v>
      </c>
      <c r="U340" s="1" t="s">
        <v>36</v>
      </c>
      <c r="V340" s="1">
        <v>0.0</v>
      </c>
      <c r="W340" s="1">
        <v>57.0</v>
      </c>
      <c r="X340" s="1">
        <v>57.0</v>
      </c>
      <c r="Y340" s="1" t="s">
        <v>50</v>
      </c>
      <c r="AA340" s="1" t="s">
        <v>38</v>
      </c>
      <c r="AB340" s="1">
        <v>0.0</v>
      </c>
      <c r="AC340" s="1">
        <v>0.0</v>
      </c>
      <c r="AD340" s="1">
        <v>0.0</v>
      </c>
      <c r="AE340" s="6">
        <v>0.7916666666666666</v>
      </c>
      <c r="AF340" s="1" t="s">
        <v>39</v>
      </c>
    </row>
    <row r="341">
      <c r="B341" s="2">
        <v>46175.0</v>
      </c>
      <c r="C341" s="3">
        <v>0.5416666666666666</v>
      </c>
      <c r="D341" s="3">
        <v>0.5833333333333334</v>
      </c>
      <c r="E341" s="3">
        <v>0.5416666666666666</v>
      </c>
      <c r="F341" s="3">
        <v>0.6298611111111111</v>
      </c>
      <c r="G341" s="1">
        <v>2.05636779349E11</v>
      </c>
      <c r="H341" s="1" t="s">
        <v>31</v>
      </c>
      <c r="J341" s="1" t="s">
        <v>32</v>
      </c>
      <c r="K341" s="4">
        <f>+17622019615</f>
        <v>17622019615</v>
      </c>
      <c r="L341" s="1" t="s">
        <v>105</v>
      </c>
      <c r="M341" s="1" t="s">
        <v>48</v>
      </c>
      <c r="N341" s="1" t="s">
        <v>502</v>
      </c>
      <c r="P341" s="1">
        <v>0.0</v>
      </c>
      <c r="R341" s="1" t="s">
        <v>35</v>
      </c>
      <c r="S341" s="1" t="s">
        <v>35</v>
      </c>
      <c r="U341" s="1" t="s">
        <v>36</v>
      </c>
      <c r="V341" s="1">
        <v>45.0</v>
      </c>
      <c r="W341" s="1">
        <v>82.0</v>
      </c>
      <c r="X341" s="1">
        <v>127.0</v>
      </c>
      <c r="Y341" s="1" t="s">
        <v>50</v>
      </c>
      <c r="AA341" s="1" t="s">
        <v>38</v>
      </c>
      <c r="AB341" s="1">
        <v>0.0</v>
      </c>
      <c r="AC341" s="1">
        <v>0.0</v>
      </c>
      <c r="AD341" s="1">
        <v>0.0</v>
      </c>
      <c r="AE341" s="6">
        <v>0.5729166666666666</v>
      </c>
      <c r="AF341" s="1" t="s">
        <v>39</v>
      </c>
    </row>
    <row r="342">
      <c r="B342" s="2">
        <v>46174.0</v>
      </c>
      <c r="C342" s="3">
        <v>0.7916666666666666</v>
      </c>
      <c r="D342" s="3">
        <v>0.7986111111111112</v>
      </c>
      <c r="E342" s="3">
        <v>0.7916666666666666</v>
      </c>
      <c r="F342" s="3">
        <v>0.8173611111111111</v>
      </c>
      <c r="G342" s="1">
        <v>2.25591963313E11</v>
      </c>
      <c r="H342" s="1" t="s">
        <v>461</v>
      </c>
      <c r="J342" s="1" t="s">
        <v>32</v>
      </c>
      <c r="K342" s="4">
        <f t="shared" ref="K342:K343" si="12">+523317727282</f>
        <v>523317727282</v>
      </c>
      <c r="L342" s="1" t="s">
        <v>41</v>
      </c>
      <c r="M342" s="1" t="s">
        <v>42</v>
      </c>
      <c r="N342" s="1" t="s">
        <v>503</v>
      </c>
      <c r="P342" s="1">
        <v>0.0</v>
      </c>
      <c r="R342" s="1" t="s">
        <v>44</v>
      </c>
      <c r="S342" s="1" t="s">
        <v>70</v>
      </c>
      <c r="U342" s="1" t="s">
        <v>36</v>
      </c>
      <c r="V342" s="1">
        <v>0.0</v>
      </c>
      <c r="W342" s="1">
        <v>37.0</v>
      </c>
      <c r="X342" s="1">
        <v>37.0</v>
      </c>
      <c r="Y342" s="1" t="s">
        <v>81</v>
      </c>
      <c r="AA342" s="1" t="s">
        <v>38</v>
      </c>
      <c r="AB342" s="1">
        <v>0.0</v>
      </c>
      <c r="AC342" s="1">
        <v>0.0</v>
      </c>
      <c r="AD342" s="1">
        <v>0.0</v>
      </c>
      <c r="AE342" s="6">
        <v>0.7916666666666666</v>
      </c>
      <c r="AF342" s="1" t="s">
        <v>39</v>
      </c>
    </row>
    <row r="343">
      <c r="B343" s="2">
        <v>46174.0</v>
      </c>
      <c r="C343" s="3">
        <v>0.7916666666666666</v>
      </c>
      <c r="D343" s="3">
        <v>0.8333333333333334</v>
      </c>
      <c r="E343" s="3">
        <v>0.7784722222222222</v>
      </c>
      <c r="F343" s="3">
        <v>0.8222222222222222</v>
      </c>
      <c r="G343" s="1">
        <v>2.25591963313E11</v>
      </c>
      <c r="H343" s="1" t="s">
        <v>461</v>
      </c>
      <c r="J343" s="1" t="s">
        <v>32</v>
      </c>
      <c r="K343" s="4">
        <f t="shared" si="12"/>
        <v>523317727282</v>
      </c>
      <c r="L343" s="1" t="s">
        <v>47</v>
      </c>
      <c r="M343" s="1" t="s">
        <v>48</v>
      </c>
      <c r="N343" s="1" t="s">
        <v>504</v>
      </c>
      <c r="P343" s="1">
        <v>0.0</v>
      </c>
      <c r="R343" s="1" t="s">
        <v>70</v>
      </c>
      <c r="S343" s="1" t="s">
        <v>70</v>
      </c>
      <c r="U343" s="1" t="s">
        <v>36</v>
      </c>
      <c r="V343" s="1">
        <v>56.0</v>
      </c>
      <c r="W343" s="1">
        <v>7.0</v>
      </c>
      <c r="X343" s="1">
        <v>63.0</v>
      </c>
      <c r="Y343" s="1" t="s">
        <v>50</v>
      </c>
      <c r="AA343" s="1" t="s">
        <v>38</v>
      </c>
      <c r="AB343" s="1">
        <v>0.0</v>
      </c>
      <c r="AC343" s="1">
        <v>0.0</v>
      </c>
      <c r="AD343" s="1">
        <v>0.0</v>
      </c>
      <c r="AE343" s="6">
        <v>0.8173611111111111</v>
      </c>
      <c r="AF343" s="1" t="s">
        <v>39</v>
      </c>
    </row>
    <row r="344">
      <c r="B344" s="2">
        <v>46174.0</v>
      </c>
      <c r="C344" s="3">
        <v>0.4236111111111111</v>
      </c>
      <c r="D344" s="3">
        <v>0.4305555555555556</v>
      </c>
      <c r="E344" s="3">
        <v>0.4236111111111111</v>
      </c>
      <c r="F344" s="3">
        <v>0.44166666666666665</v>
      </c>
      <c r="G344" s="1">
        <v>1.28615761068E11</v>
      </c>
      <c r="H344" s="1" t="s">
        <v>232</v>
      </c>
      <c r="J344" s="1" t="s">
        <v>32</v>
      </c>
      <c r="K344" s="4">
        <f>+523335782664</f>
        <v>523335782664</v>
      </c>
      <c r="L344" s="1" t="s">
        <v>41</v>
      </c>
      <c r="M344" s="1" t="s">
        <v>42</v>
      </c>
      <c r="N344" s="1" t="s">
        <v>505</v>
      </c>
      <c r="P344" s="1">
        <v>0.0</v>
      </c>
      <c r="Q344" s="1">
        <v>0.0</v>
      </c>
      <c r="R344" s="1" t="s">
        <v>44</v>
      </c>
      <c r="S344" s="1" t="s">
        <v>45</v>
      </c>
      <c r="U344" s="1" t="s">
        <v>55</v>
      </c>
      <c r="V344" s="1">
        <v>0.0</v>
      </c>
      <c r="W344" s="1">
        <v>26.0</v>
      </c>
      <c r="X344" s="1">
        <v>26.0</v>
      </c>
      <c r="Y344" s="1" t="s">
        <v>155</v>
      </c>
      <c r="AA344" s="1" t="s">
        <v>38</v>
      </c>
      <c r="AB344" s="1">
        <v>0.0</v>
      </c>
      <c r="AC344" s="1">
        <v>0.0</v>
      </c>
      <c r="AD344" s="1">
        <v>0.0</v>
      </c>
      <c r="AE344" s="6">
        <v>0.4236111111111111</v>
      </c>
      <c r="AF344" s="1" t="s">
        <v>39</v>
      </c>
    </row>
    <row r="345">
      <c r="B345" s="2">
        <v>46174.0</v>
      </c>
      <c r="C345" s="3">
        <v>0.3993055555555556</v>
      </c>
      <c r="D345" s="3">
        <v>0.4305555555555556</v>
      </c>
      <c r="E345" s="3">
        <v>0.3993055555555556</v>
      </c>
      <c r="F345" s="3">
        <v>0.44166666666666665</v>
      </c>
      <c r="H345" s="1" t="s">
        <v>506</v>
      </c>
      <c r="J345" s="1" t="s">
        <v>32</v>
      </c>
      <c r="K345" s="4" t="str">
        <f>+52 33 2767 5052</f>
        <v>#ERROR!</v>
      </c>
      <c r="L345" s="1" t="s">
        <v>158</v>
      </c>
      <c r="M345" s="1" t="s">
        <v>42</v>
      </c>
      <c r="P345" s="1">
        <v>0.0</v>
      </c>
      <c r="Q345" s="5">
        <v>-83000.0</v>
      </c>
      <c r="R345" s="1" t="s">
        <v>53</v>
      </c>
      <c r="S345" s="1" t="s">
        <v>125</v>
      </c>
      <c r="U345" s="1" t="s">
        <v>55</v>
      </c>
      <c r="V345" s="1">
        <v>0.0</v>
      </c>
      <c r="W345" s="1">
        <v>61.0</v>
      </c>
      <c r="X345" s="1">
        <v>61.0</v>
      </c>
      <c r="Y345" s="1" t="s">
        <v>155</v>
      </c>
      <c r="AA345" s="1" t="s">
        <v>38</v>
      </c>
      <c r="AB345" s="1">
        <v>0.0</v>
      </c>
      <c r="AC345" s="1">
        <v>0.0</v>
      </c>
      <c r="AD345" s="1">
        <v>0.0</v>
      </c>
      <c r="AE345" s="6">
        <v>0.3993055555555556</v>
      </c>
      <c r="AF345" s="1" t="s">
        <v>39</v>
      </c>
    </row>
    <row r="346">
      <c r="B346" s="2">
        <v>46174.0</v>
      </c>
      <c r="C346" s="3">
        <v>0.3645833333333333</v>
      </c>
      <c r="D346" s="3">
        <v>0.3715277777777778</v>
      </c>
      <c r="E346" s="3">
        <v>0.3645833333333333</v>
      </c>
      <c r="F346" s="3">
        <v>0.44166666666666665</v>
      </c>
      <c r="H346" s="1" t="s">
        <v>507</v>
      </c>
      <c r="J346" s="1" t="s">
        <v>32</v>
      </c>
      <c r="K346" s="1">
        <v>8.153552706E9</v>
      </c>
      <c r="L346" s="1" t="s">
        <v>41</v>
      </c>
      <c r="M346" s="1" t="s">
        <v>42</v>
      </c>
      <c r="N346" s="1" t="s">
        <v>508</v>
      </c>
      <c r="P346" s="1">
        <v>0.0</v>
      </c>
      <c r="Q346" s="1">
        <v>0.0</v>
      </c>
      <c r="R346" s="1" t="s">
        <v>44</v>
      </c>
      <c r="S346" s="1" t="s">
        <v>178</v>
      </c>
      <c r="U346" s="1" t="s">
        <v>55</v>
      </c>
      <c r="V346" s="1">
        <v>0.0</v>
      </c>
      <c r="W346" s="1">
        <v>111.0</v>
      </c>
      <c r="X346" s="1">
        <v>111.0</v>
      </c>
      <c r="Y346" s="1" t="s">
        <v>155</v>
      </c>
      <c r="AA346" s="1" t="s">
        <v>64</v>
      </c>
      <c r="AB346" s="1">
        <v>0.0</v>
      </c>
      <c r="AC346" s="1">
        <v>0.0</v>
      </c>
      <c r="AD346" s="1">
        <v>0.0</v>
      </c>
      <c r="AE346" s="6">
        <v>0.3645833333333333</v>
      </c>
      <c r="AF346" s="1" t="s">
        <v>39</v>
      </c>
    </row>
    <row r="347">
      <c r="B347" s="2">
        <v>46174.0</v>
      </c>
      <c r="C347" s="3">
        <v>0.3576388888888889</v>
      </c>
      <c r="D347" s="3">
        <v>0.3888888888888889</v>
      </c>
      <c r="E347" s="3">
        <v>0.3576388888888889</v>
      </c>
      <c r="F347" s="3">
        <v>0.44166666666666665</v>
      </c>
      <c r="H347" s="1" t="s">
        <v>507</v>
      </c>
      <c r="J347" s="1" t="s">
        <v>32</v>
      </c>
      <c r="K347" s="1">
        <v>8.153552706E9</v>
      </c>
      <c r="L347" s="1" t="s">
        <v>158</v>
      </c>
      <c r="M347" s="1" t="s">
        <v>42</v>
      </c>
      <c r="P347" s="1">
        <v>0.0</v>
      </c>
      <c r="Q347" s="1">
        <v>0.0</v>
      </c>
      <c r="R347" s="1" t="s">
        <v>53</v>
      </c>
      <c r="S347" s="1" t="s">
        <v>178</v>
      </c>
      <c r="U347" s="1" t="s">
        <v>55</v>
      </c>
      <c r="V347" s="1">
        <v>0.0</v>
      </c>
      <c r="W347" s="1">
        <v>121.0</v>
      </c>
      <c r="X347" s="1">
        <v>121.0</v>
      </c>
      <c r="Y347" s="1" t="s">
        <v>155</v>
      </c>
      <c r="AA347" s="1" t="s">
        <v>64</v>
      </c>
      <c r="AB347" s="1">
        <v>0.0</v>
      </c>
      <c r="AC347" s="1">
        <v>0.0</v>
      </c>
      <c r="AD347" s="1">
        <v>0.0</v>
      </c>
      <c r="AE347" s="6">
        <v>0.3576388888888889</v>
      </c>
      <c r="AF347" s="1" t="s">
        <v>39</v>
      </c>
    </row>
    <row r="348">
      <c r="B348" s="2">
        <v>46174.0</v>
      </c>
      <c r="C348" s="3">
        <v>0.5694444444444444</v>
      </c>
      <c r="D348" s="3">
        <v>0.5763888888888888</v>
      </c>
      <c r="E348" s="3">
        <v>0.5694444444444444</v>
      </c>
      <c r="F348" s="3">
        <v>0.6034722222222222</v>
      </c>
      <c r="G348" s="1">
        <v>2.08589766444E11</v>
      </c>
      <c r="H348" s="1" t="s">
        <v>313</v>
      </c>
      <c r="J348" s="1" t="s">
        <v>32</v>
      </c>
      <c r="K348" s="4">
        <f>+523313219330</f>
        <v>523313219330</v>
      </c>
      <c r="L348" s="1" t="s">
        <v>41</v>
      </c>
      <c r="M348" s="1" t="s">
        <v>42</v>
      </c>
      <c r="N348" s="1" t="s">
        <v>509</v>
      </c>
      <c r="P348" s="1">
        <v>0.0</v>
      </c>
      <c r="Q348" s="1">
        <v>0.0</v>
      </c>
      <c r="R348" s="1" t="s">
        <v>44</v>
      </c>
      <c r="S348" s="1" t="s">
        <v>45</v>
      </c>
      <c r="T348" s="1" t="s">
        <v>314</v>
      </c>
      <c r="U348" s="1" t="s">
        <v>55</v>
      </c>
      <c r="V348" s="1">
        <v>0.0</v>
      </c>
      <c r="W348" s="1">
        <v>49.0</v>
      </c>
      <c r="X348" s="1">
        <v>49.0</v>
      </c>
      <c r="Y348" s="1" t="s">
        <v>155</v>
      </c>
      <c r="AA348" s="1" t="s">
        <v>38</v>
      </c>
      <c r="AB348" s="1">
        <v>0.0</v>
      </c>
      <c r="AC348" s="1">
        <v>0.0</v>
      </c>
      <c r="AD348" s="1">
        <v>0.0</v>
      </c>
      <c r="AE348" s="6">
        <v>0.5694444444444444</v>
      </c>
      <c r="AF348" s="1" t="s">
        <v>39</v>
      </c>
    </row>
    <row r="349">
      <c r="B349" s="2">
        <v>46174.0</v>
      </c>
      <c r="C349" s="3">
        <v>0.7083333333333334</v>
      </c>
      <c r="D349" s="3">
        <v>0.7291666666666666</v>
      </c>
      <c r="E349" s="3">
        <v>0.7083333333333334</v>
      </c>
      <c r="F349" s="3">
        <v>0.7194444444444444</v>
      </c>
      <c r="G349" s="7">
        <v>2.08377036386E11</v>
      </c>
      <c r="H349" s="1" t="s">
        <v>161</v>
      </c>
      <c r="J349" s="1" t="s">
        <v>32</v>
      </c>
      <c r="K349" s="4">
        <f>+523326153847</f>
        <v>523326153847</v>
      </c>
      <c r="L349" s="1" t="s">
        <v>101</v>
      </c>
      <c r="M349" s="1" t="s">
        <v>59</v>
      </c>
      <c r="P349" s="1">
        <v>0.0</v>
      </c>
      <c r="Q349" s="1">
        <v>0.0</v>
      </c>
      <c r="R349" s="1" t="s">
        <v>70</v>
      </c>
      <c r="S349" s="1" t="s">
        <v>70</v>
      </c>
      <c r="U349" s="1" t="s">
        <v>55</v>
      </c>
      <c r="V349" s="1">
        <v>0.0</v>
      </c>
      <c r="W349" s="1">
        <v>16.0</v>
      </c>
      <c r="X349" s="1">
        <v>16.0</v>
      </c>
      <c r="Y349" s="1" t="s">
        <v>56</v>
      </c>
      <c r="AA349" s="1" t="s">
        <v>38</v>
      </c>
      <c r="AB349" s="1">
        <v>0.0</v>
      </c>
      <c r="AC349" s="1">
        <v>0.0</v>
      </c>
      <c r="AD349" s="1">
        <v>0.0</v>
      </c>
      <c r="AE349" s="6">
        <v>0.7083333333333334</v>
      </c>
      <c r="AF349" s="1" t="s">
        <v>39</v>
      </c>
    </row>
    <row r="350">
      <c r="B350" s="2">
        <v>46174.0</v>
      </c>
      <c r="C350" s="3">
        <v>0.4583333333333333</v>
      </c>
      <c r="D350" s="3">
        <v>0.4791666666666667</v>
      </c>
      <c r="E350" s="3">
        <v>0.4583333333333333</v>
      </c>
      <c r="F350" s="3">
        <v>0.5048611111111111</v>
      </c>
      <c r="G350" s="1">
        <v>9.0025901E7</v>
      </c>
      <c r="H350" s="1" t="s">
        <v>450</v>
      </c>
      <c r="J350" s="1" t="s">
        <v>32</v>
      </c>
      <c r="K350" s="1">
        <v>4.155530404E9</v>
      </c>
      <c r="L350" s="1" t="s">
        <v>101</v>
      </c>
      <c r="M350" s="1" t="s">
        <v>59</v>
      </c>
      <c r="P350" s="1">
        <v>0.0</v>
      </c>
      <c r="Q350" s="1">
        <v>0.0</v>
      </c>
      <c r="R350" s="1" t="s">
        <v>45</v>
      </c>
      <c r="S350" s="1" t="s">
        <v>45</v>
      </c>
      <c r="U350" s="1" t="s">
        <v>36</v>
      </c>
      <c r="V350" s="1">
        <v>0.0</v>
      </c>
      <c r="W350" s="1">
        <v>67.0</v>
      </c>
      <c r="X350" s="1">
        <v>67.0</v>
      </c>
      <c r="Y350" s="1" t="s">
        <v>56</v>
      </c>
      <c r="AA350" s="1" t="s">
        <v>64</v>
      </c>
      <c r="AB350" s="1">
        <v>0.0</v>
      </c>
      <c r="AC350" s="1">
        <v>0.0</v>
      </c>
      <c r="AD350" s="1">
        <v>0.0</v>
      </c>
      <c r="AE350" s="6">
        <v>0.4583333333333333</v>
      </c>
      <c r="AF350" s="1" t="s">
        <v>39</v>
      </c>
    </row>
    <row r="351">
      <c r="B351" s="2">
        <v>46174.0</v>
      </c>
      <c r="C351" s="3">
        <v>0.5625</v>
      </c>
      <c r="D351" s="3">
        <v>0.6041666666666666</v>
      </c>
      <c r="E351" s="3">
        <v>0.5625</v>
      </c>
      <c r="F351" s="3">
        <v>0.6659722222222222</v>
      </c>
      <c r="G351" s="1">
        <v>2.08589766444E11</v>
      </c>
      <c r="H351" s="1" t="s">
        <v>313</v>
      </c>
      <c r="J351" s="1" t="s">
        <v>32</v>
      </c>
      <c r="K351" s="4">
        <f>+523313219330</f>
        <v>523313219330</v>
      </c>
      <c r="L351" s="1" t="s">
        <v>241</v>
      </c>
      <c r="M351" s="1" t="s">
        <v>34</v>
      </c>
      <c r="N351" s="1" t="s">
        <v>67</v>
      </c>
      <c r="P351" s="1">
        <v>0.0</v>
      </c>
      <c r="Q351" s="1">
        <v>0.0</v>
      </c>
      <c r="R351" s="1" t="s">
        <v>45</v>
      </c>
      <c r="S351" s="1" t="s">
        <v>45</v>
      </c>
      <c r="T351" s="1" t="s">
        <v>314</v>
      </c>
      <c r="U351" s="1" t="s">
        <v>55</v>
      </c>
      <c r="V351" s="1">
        <v>9.0</v>
      </c>
      <c r="W351" s="1">
        <v>140.0</v>
      </c>
      <c r="X351" s="1">
        <v>149.0</v>
      </c>
      <c r="Y351" s="1" t="s">
        <v>50</v>
      </c>
      <c r="AA351" s="1" t="s">
        <v>38</v>
      </c>
      <c r="AB351" s="1">
        <v>0.0</v>
      </c>
      <c r="AC351" s="1">
        <v>0.0</v>
      </c>
      <c r="AD351" s="1">
        <v>0.0</v>
      </c>
      <c r="AE351" s="6">
        <v>0.56875</v>
      </c>
      <c r="AF351" s="1" t="s">
        <v>39</v>
      </c>
    </row>
    <row r="352">
      <c r="B352" s="2">
        <v>46174.0</v>
      </c>
      <c r="C352" s="3">
        <v>0.3333333333333333</v>
      </c>
      <c r="D352" s="3">
        <v>0.3541666666666667</v>
      </c>
      <c r="E352" s="3">
        <v>0.3333333333333333</v>
      </c>
      <c r="F352" s="3">
        <v>0.39166666666666666</v>
      </c>
      <c r="G352" s="1">
        <v>7.4951102641E10</v>
      </c>
      <c r="H352" s="1" t="s">
        <v>510</v>
      </c>
      <c r="J352" s="1" t="s">
        <v>32</v>
      </c>
      <c r="K352" s="4">
        <f>+19494159875</f>
        <v>19494159875</v>
      </c>
      <c r="L352" s="1" t="s">
        <v>90</v>
      </c>
      <c r="M352" s="1" t="s">
        <v>87</v>
      </c>
      <c r="N352" s="1" t="s">
        <v>511</v>
      </c>
      <c r="P352" s="1">
        <v>0.0</v>
      </c>
      <c r="Q352" s="1">
        <v>0.0</v>
      </c>
      <c r="R352" s="1" t="s">
        <v>53</v>
      </c>
      <c r="S352" s="1" t="s">
        <v>178</v>
      </c>
      <c r="U352" s="1" t="s">
        <v>55</v>
      </c>
      <c r="V352" s="1">
        <v>0.0</v>
      </c>
      <c r="W352" s="1">
        <v>84.0</v>
      </c>
      <c r="X352" s="1">
        <v>84.0</v>
      </c>
      <c r="Y352" s="1" t="s">
        <v>78</v>
      </c>
      <c r="AA352" s="1" t="s">
        <v>64</v>
      </c>
      <c r="AB352" s="1">
        <v>0.0</v>
      </c>
      <c r="AC352" s="1">
        <v>0.0</v>
      </c>
      <c r="AD352" s="1">
        <v>0.0</v>
      </c>
      <c r="AE352" s="6">
        <v>0.3333333333333333</v>
      </c>
      <c r="AF352" s="1" t="s">
        <v>39</v>
      </c>
    </row>
    <row r="353">
      <c r="B353" s="2">
        <v>46174.0</v>
      </c>
      <c r="C353" s="3">
        <v>0.375</v>
      </c>
      <c r="D353" s="3">
        <v>0.3958333333333333</v>
      </c>
      <c r="E353" s="3">
        <v>0.375</v>
      </c>
      <c r="F353" s="3">
        <v>0.42916666666666664</v>
      </c>
      <c r="H353" s="1" t="s">
        <v>512</v>
      </c>
      <c r="J353" s="1" t="s">
        <v>32</v>
      </c>
      <c r="K353" s="4" t="str">
        <f>+52 33 2767 5052</f>
        <v>#ERROR!</v>
      </c>
      <c r="L353" s="1" t="s">
        <v>90</v>
      </c>
      <c r="M353" s="1" t="s">
        <v>87</v>
      </c>
      <c r="N353" s="1" t="s">
        <v>513</v>
      </c>
      <c r="P353" s="5">
        <v>-83000.0</v>
      </c>
      <c r="Q353" s="1">
        <v>0.0</v>
      </c>
      <c r="R353" s="1" t="s">
        <v>53</v>
      </c>
      <c r="S353" s="1" t="s">
        <v>125</v>
      </c>
      <c r="U353" s="1" t="s">
        <v>55</v>
      </c>
      <c r="V353" s="1">
        <v>24.0</v>
      </c>
      <c r="W353" s="1">
        <v>54.0</v>
      </c>
      <c r="X353" s="1">
        <v>78.0</v>
      </c>
      <c r="Y353" s="1" t="s">
        <v>78</v>
      </c>
      <c r="AA353" s="1" t="s">
        <v>38</v>
      </c>
      <c r="AB353" s="1">
        <v>0.0</v>
      </c>
      <c r="AC353" s="1">
        <v>0.0</v>
      </c>
      <c r="AD353" s="1">
        <v>0.0</v>
      </c>
      <c r="AE353" s="6">
        <v>0.39166666666666666</v>
      </c>
      <c r="AF353" s="1" t="s">
        <v>39</v>
      </c>
    </row>
    <row r="354">
      <c r="B354" s="2">
        <v>46174.0</v>
      </c>
      <c r="C354" s="3">
        <v>0.75</v>
      </c>
      <c r="D354" s="3">
        <v>0.7916666666666666</v>
      </c>
      <c r="E354" s="3">
        <v>0.75</v>
      </c>
      <c r="F354" s="3">
        <v>0.7784722222222222</v>
      </c>
      <c r="G354" s="1">
        <v>2.25065672296E11</v>
      </c>
      <c r="H354" s="1" t="s">
        <v>514</v>
      </c>
      <c r="J354" s="1" t="s">
        <v>32</v>
      </c>
      <c r="K354" s="4">
        <f>+526444621958</f>
        <v>526444621958</v>
      </c>
      <c r="L354" s="1" t="s">
        <v>289</v>
      </c>
      <c r="M354" s="1" t="s">
        <v>48</v>
      </c>
      <c r="N354" s="1" t="s">
        <v>515</v>
      </c>
      <c r="P354" s="1">
        <v>0.0</v>
      </c>
      <c r="R354" s="1" t="s">
        <v>70</v>
      </c>
      <c r="S354" s="1" t="s">
        <v>70</v>
      </c>
      <c r="U354" s="1" t="s">
        <v>36</v>
      </c>
      <c r="V354" s="1">
        <v>0.0</v>
      </c>
      <c r="W354" s="1">
        <v>41.0</v>
      </c>
      <c r="X354" s="1">
        <v>41.0</v>
      </c>
      <c r="Y354" s="1" t="s">
        <v>50</v>
      </c>
      <c r="AA354" s="1" t="s">
        <v>38</v>
      </c>
      <c r="AB354" s="1">
        <v>0.0</v>
      </c>
      <c r="AC354" s="1">
        <v>0.0</v>
      </c>
      <c r="AD354" s="1">
        <v>0.0</v>
      </c>
      <c r="AE354" s="6">
        <v>0.75</v>
      </c>
      <c r="AF354" s="1" t="s">
        <v>39</v>
      </c>
    </row>
    <row r="355">
      <c r="B355" s="2">
        <v>46174.0</v>
      </c>
      <c r="C355" s="3">
        <v>0.7916666666666666</v>
      </c>
      <c r="D355" s="3">
        <v>0.8333333333333334</v>
      </c>
      <c r="E355" s="3">
        <v>0.7916666666666666</v>
      </c>
      <c r="F355" s="3">
        <v>0.8222222222222222</v>
      </c>
      <c r="G355" s="1">
        <v>2.24060802694E11</v>
      </c>
      <c r="H355" s="1" t="s">
        <v>265</v>
      </c>
      <c r="J355" s="1" t="s">
        <v>32</v>
      </c>
      <c r="K355" s="4" t="str">
        <f>+1 602 638 8070</f>
        <v>#ERROR!</v>
      </c>
      <c r="L355" s="1" t="s">
        <v>289</v>
      </c>
      <c r="M355" s="1" t="s">
        <v>48</v>
      </c>
      <c r="N355" s="1" t="s">
        <v>516</v>
      </c>
      <c r="P355" s="5">
        <v>26400.0</v>
      </c>
      <c r="R355" s="1" t="s">
        <v>35</v>
      </c>
      <c r="S355" s="1" t="s">
        <v>35</v>
      </c>
      <c r="U355" s="1" t="s">
        <v>55</v>
      </c>
      <c r="V355" s="1">
        <v>0.0</v>
      </c>
      <c r="W355" s="1">
        <v>44.0</v>
      </c>
      <c r="X355" s="1">
        <v>44.0</v>
      </c>
      <c r="Y355" s="1" t="s">
        <v>46</v>
      </c>
      <c r="AA355" s="1" t="s">
        <v>64</v>
      </c>
      <c r="AB355" s="1">
        <v>0.0</v>
      </c>
      <c r="AC355" s="1">
        <v>0.0</v>
      </c>
      <c r="AD355" s="1">
        <v>0.0</v>
      </c>
      <c r="AE355" s="6">
        <v>0.7916666666666666</v>
      </c>
      <c r="AF355" s="1" t="s">
        <v>39</v>
      </c>
    </row>
    <row r="356">
      <c r="B356" s="2">
        <v>46174.0</v>
      </c>
      <c r="C356" s="3">
        <v>0.7083333333333334</v>
      </c>
      <c r="D356" s="3">
        <v>0.7152777777777778</v>
      </c>
      <c r="E356" s="3">
        <v>0.7083333333333334</v>
      </c>
      <c r="F356" s="3">
        <v>0.7201388888888889</v>
      </c>
      <c r="G356" s="1">
        <v>2.23806689842E11</v>
      </c>
      <c r="H356" s="1" t="s">
        <v>460</v>
      </c>
      <c r="J356" s="1" t="s">
        <v>32</v>
      </c>
      <c r="K356" s="4">
        <f>+5213351109582</f>
        <v>5213351109582</v>
      </c>
      <c r="L356" s="1" t="s">
        <v>41</v>
      </c>
      <c r="M356" s="1" t="s">
        <v>42</v>
      </c>
      <c r="N356" s="1" t="s">
        <v>517</v>
      </c>
      <c r="P356" s="5">
        <v>0.0</v>
      </c>
      <c r="R356" s="1" t="s">
        <v>44</v>
      </c>
      <c r="S356" s="1" t="s">
        <v>35</v>
      </c>
      <c r="U356" s="1" t="s">
        <v>55</v>
      </c>
      <c r="V356" s="1">
        <v>0.0</v>
      </c>
      <c r="W356" s="1">
        <v>17.0</v>
      </c>
      <c r="X356" s="1">
        <v>17.0</v>
      </c>
      <c r="Y356" s="1" t="s">
        <v>46</v>
      </c>
      <c r="AA356" s="1" t="s">
        <v>38</v>
      </c>
      <c r="AB356" s="1">
        <v>0.0</v>
      </c>
      <c r="AC356" s="1">
        <v>0.0</v>
      </c>
      <c r="AD356" s="1">
        <v>0.0</v>
      </c>
      <c r="AE356" s="6">
        <v>0.7083333333333334</v>
      </c>
      <c r="AF356" s="1" t="s">
        <v>39</v>
      </c>
    </row>
    <row r="357">
      <c r="B357" s="2">
        <v>46174.0</v>
      </c>
      <c r="C357" s="3">
        <v>0.625</v>
      </c>
      <c r="D357" s="3">
        <v>0.6666666666666666</v>
      </c>
      <c r="E357" s="3">
        <v>0.625</v>
      </c>
      <c r="F357" s="3">
        <v>0.7201388888888889</v>
      </c>
      <c r="G357" s="1">
        <v>2.24825250367E11</v>
      </c>
      <c r="H357" s="1" t="s">
        <v>518</v>
      </c>
      <c r="J357" s="1" t="s">
        <v>32</v>
      </c>
      <c r="K357" s="4">
        <f>+18187912570</f>
        <v>18187912570</v>
      </c>
      <c r="L357" s="1" t="s">
        <v>289</v>
      </c>
      <c r="M357" s="1" t="s">
        <v>48</v>
      </c>
      <c r="N357" s="1" t="s">
        <v>519</v>
      </c>
      <c r="P357" s="5">
        <v>0.0</v>
      </c>
      <c r="R357" s="1" t="s">
        <v>45</v>
      </c>
      <c r="S357" s="1" t="s">
        <v>45</v>
      </c>
      <c r="U357" s="1" t="s">
        <v>36</v>
      </c>
      <c r="V357" s="1">
        <v>0.0</v>
      </c>
      <c r="W357" s="1">
        <v>137.0</v>
      </c>
      <c r="X357" s="1">
        <v>137.0</v>
      </c>
      <c r="Y357" s="1" t="s">
        <v>50</v>
      </c>
      <c r="AA357" s="1" t="s">
        <v>64</v>
      </c>
      <c r="AB357" s="1">
        <v>0.0</v>
      </c>
      <c r="AC357" s="1">
        <v>0.0</v>
      </c>
      <c r="AD357" s="1">
        <v>0.0</v>
      </c>
      <c r="AE357" s="6">
        <v>0.625</v>
      </c>
      <c r="AF357" s="1" t="s">
        <v>39</v>
      </c>
    </row>
    <row r="358">
      <c r="B358" s="2">
        <v>46174.0</v>
      </c>
      <c r="C358" s="3">
        <v>0.5416666666666666</v>
      </c>
      <c r="D358" s="3">
        <v>0.5486111111111112</v>
      </c>
      <c r="E358" s="3">
        <v>0.5416666666666666</v>
      </c>
      <c r="F358" s="3">
        <v>0.5375</v>
      </c>
      <c r="G358" s="1">
        <v>9.8615167669E10</v>
      </c>
      <c r="H358" s="1" t="s">
        <v>479</v>
      </c>
      <c r="J358" s="1" t="s">
        <v>32</v>
      </c>
      <c r="K358" s="4">
        <f>+5218184708396</f>
        <v>5218184708396</v>
      </c>
      <c r="L358" s="1" t="s">
        <v>41</v>
      </c>
      <c r="M358" s="1" t="s">
        <v>42</v>
      </c>
      <c r="N358" s="1" t="s">
        <v>520</v>
      </c>
      <c r="P358" s="1">
        <v>0.0</v>
      </c>
      <c r="R358" s="1" t="s">
        <v>44</v>
      </c>
      <c r="S358" s="1" t="s">
        <v>45</v>
      </c>
      <c r="U358" s="1" t="s">
        <v>36</v>
      </c>
      <c r="V358" s="1">
        <v>0.0</v>
      </c>
      <c r="W358" s="1">
        <v>-6.0</v>
      </c>
      <c r="X358" s="1">
        <v>-6.0</v>
      </c>
      <c r="Y358" s="1" t="s">
        <v>81</v>
      </c>
      <c r="AA358" s="1" t="s">
        <v>38</v>
      </c>
      <c r="AB358" s="1">
        <v>0.0</v>
      </c>
      <c r="AC358" s="1">
        <v>0.0</v>
      </c>
      <c r="AD358" s="1">
        <v>0.0</v>
      </c>
      <c r="AE358" s="6">
        <v>0.5416666666666666</v>
      </c>
      <c r="AF358" s="1" t="s">
        <v>39</v>
      </c>
    </row>
    <row r="359">
      <c r="B359" s="2">
        <v>46174.0</v>
      </c>
      <c r="C359" s="3">
        <v>0.7083333333333334</v>
      </c>
      <c r="D359" s="3">
        <v>0.75</v>
      </c>
      <c r="E359" s="3">
        <v>0.7083333333333334</v>
      </c>
      <c r="F359" s="3">
        <v>0.7194444444444444</v>
      </c>
      <c r="G359" s="1">
        <v>2.23806689842E11</v>
      </c>
      <c r="H359" s="1" t="s">
        <v>460</v>
      </c>
      <c r="J359" s="1" t="s">
        <v>32</v>
      </c>
      <c r="K359" s="4">
        <f>+5213351109582</f>
        <v>5213351109582</v>
      </c>
      <c r="L359" s="1" t="s">
        <v>47</v>
      </c>
      <c r="M359" s="1" t="s">
        <v>48</v>
      </c>
      <c r="N359" s="1" t="s">
        <v>521</v>
      </c>
      <c r="P359" s="1">
        <v>0.0</v>
      </c>
      <c r="R359" s="1" t="s">
        <v>35</v>
      </c>
      <c r="S359" s="1" t="s">
        <v>35</v>
      </c>
      <c r="U359" s="1" t="s">
        <v>36</v>
      </c>
      <c r="V359" s="1">
        <v>0.0</v>
      </c>
      <c r="W359" s="1">
        <v>16.0</v>
      </c>
      <c r="X359" s="1">
        <v>16.0</v>
      </c>
      <c r="Y359" s="1" t="s">
        <v>50</v>
      </c>
      <c r="AA359" s="1" t="s">
        <v>38</v>
      </c>
      <c r="AB359" s="1">
        <v>0.0</v>
      </c>
      <c r="AC359" s="1">
        <v>0.0</v>
      </c>
      <c r="AD359" s="1">
        <v>0.0</v>
      </c>
      <c r="AE359" s="6">
        <v>0.7083333333333334</v>
      </c>
      <c r="AF359" s="1" t="s">
        <v>39</v>
      </c>
    </row>
    <row r="360">
      <c r="B360" s="2">
        <v>46174.0</v>
      </c>
      <c r="C360" s="3">
        <v>0.75</v>
      </c>
      <c r="D360" s="3">
        <v>0.7916666666666666</v>
      </c>
      <c r="E360" s="3">
        <v>0.75</v>
      </c>
      <c r="F360" s="3">
        <v>0.7777777777777778</v>
      </c>
      <c r="G360" s="1">
        <v>2.24333402891E11</v>
      </c>
      <c r="H360" s="1" t="s">
        <v>431</v>
      </c>
      <c r="J360" s="1" t="s">
        <v>32</v>
      </c>
      <c r="K360" s="4">
        <f>+523317192662</f>
        <v>523317192662</v>
      </c>
      <c r="L360" s="1" t="s">
        <v>83</v>
      </c>
      <c r="M360" s="1" t="s">
        <v>48</v>
      </c>
      <c r="N360" s="1" t="s">
        <v>522</v>
      </c>
      <c r="P360" s="1">
        <v>0.0</v>
      </c>
      <c r="R360" s="1" t="s">
        <v>35</v>
      </c>
      <c r="S360" s="1" t="s">
        <v>35</v>
      </c>
      <c r="U360" s="1" t="s">
        <v>36</v>
      </c>
      <c r="V360" s="1">
        <v>0.0</v>
      </c>
      <c r="W360" s="1">
        <v>40.0</v>
      </c>
      <c r="X360" s="1">
        <v>40.0</v>
      </c>
      <c r="Y360" s="1" t="s">
        <v>50</v>
      </c>
      <c r="AA360" s="1" t="s">
        <v>38</v>
      </c>
      <c r="AB360" s="1">
        <v>0.0</v>
      </c>
      <c r="AC360" s="1">
        <v>0.0</v>
      </c>
      <c r="AD360" s="1">
        <v>0.0</v>
      </c>
      <c r="AE360" s="6">
        <v>0.75</v>
      </c>
      <c r="AF360" s="1" t="s">
        <v>39</v>
      </c>
    </row>
    <row r="361">
      <c r="B361" s="2">
        <v>46174.0</v>
      </c>
      <c r="C361" s="3">
        <v>0.5833333333333334</v>
      </c>
      <c r="D361" s="3">
        <v>0.6041666666666666</v>
      </c>
      <c r="E361" s="3">
        <v>0.5833333333333334</v>
      </c>
      <c r="F361" s="3">
        <v>0.6159722222222223</v>
      </c>
      <c r="H361" s="1" t="s">
        <v>523</v>
      </c>
      <c r="J361" s="1" t="s">
        <v>32</v>
      </c>
      <c r="K361" s="4" t="str">
        <f>+52 33 3956 3708</f>
        <v>#ERROR!</v>
      </c>
      <c r="L361" s="1" t="s">
        <v>86</v>
      </c>
      <c r="M361" s="1" t="s">
        <v>87</v>
      </c>
      <c r="N361" s="1" t="s">
        <v>524</v>
      </c>
      <c r="P361" s="5">
        <v>-14500.0</v>
      </c>
      <c r="Q361" s="1">
        <v>0.0</v>
      </c>
      <c r="R361" s="1" t="s">
        <v>53</v>
      </c>
      <c r="S361" s="1" t="s">
        <v>194</v>
      </c>
      <c r="U361" s="1" t="s">
        <v>55</v>
      </c>
      <c r="V361" s="1">
        <v>0.0</v>
      </c>
      <c r="W361" s="1">
        <v>47.0</v>
      </c>
      <c r="X361" s="1">
        <v>47.0</v>
      </c>
      <c r="Y361" s="1" t="s">
        <v>78</v>
      </c>
      <c r="AA361" s="1" t="s">
        <v>38</v>
      </c>
      <c r="AB361" s="1">
        <v>0.0</v>
      </c>
      <c r="AC361" s="1">
        <v>0.0</v>
      </c>
      <c r="AD361" s="1">
        <v>0.0</v>
      </c>
      <c r="AE361" s="6">
        <v>0.5833333333333334</v>
      </c>
      <c r="AF361" s="1" t="s">
        <v>39</v>
      </c>
    </row>
    <row r="362">
      <c r="B362" s="2">
        <v>46174.0</v>
      </c>
      <c r="C362" s="3">
        <v>0.3333333333333333</v>
      </c>
      <c r="D362" s="3">
        <v>0.3541666666666667</v>
      </c>
      <c r="E362" s="3">
        <v>0.3333333333333333</v>
      </c>
      <c r="F362" s="3">
        <v>0.3909722222222222</v>
      </c>
      <c r="G362" s="1">
        <v>2.08057270662E11</v>
      </c>
      <c r="H362" s="1" t="s">
        <v>472</v>
      </c>
      <c r="J362" s="1" t="s">
        <v>32</v>
      </c>
      <c r="K362" s="4">
        <f>+523328349108</f>
        <v>523328349108</v>
      </c>
      <c r="L362" s="1" t="s">
        <v>66</v>
      </c>
      <c r="M362" s="1" t="s">
        <v>34</v>
      </c>
      <c r="N362" s="1" t="s">
        <v>68</v>
      </c>
      <c r="P362" s="1">
        <v>0.0</v>
      </c>
      <c r="Q362" s="1">
        <v>0.0</v>
      </c>
      <c r="R362" s="1" t="s">
        <v>45</v>
      </c>
      <c r="S362" s="1" t="s">
        <v>45</v>
      </c>
      <c r="U362" s="1" t="s">
        <v>55</v>
      </c>
      <c r="V362" s="1">
        <v>0.0</v>
      </c>
      <c r="W362" s="1">
        <v>83.0</v>
      </c>
      <c r="X362" s="1">
        <v>83.0</v>
      </c>
      <c r="Y362" s="1" t="s">
        <v>50</v>
      </c>
      <c r="AA362" s="1" t="s">
        <v>38</v>
      </c>
      <c r="AB362" s="1">
        <v>0.0</v>
      </c>
      <c r="AC362" s="1">
        <v>0.0</v>
      </c>
      <c r="AD362" s="1">
        <v>0.0</v>
      </c>
      <c r="AE362" s="6">
        <v>0.3333333333333333</v>
      </c>
      <c r="AF362" s="1" t="s">
        <v>39</v>
      </c>
    </row>
    <row r="363">
      <c r="B363" s="2">
        <v>46174.0</v>
      </c>
      <c r="C363" s="3">
        <v>0.4166666666666667</v>
      </c>
      <c r="D363" s="3">
        <v>0.4375</v>
      </c>
      <c r="E363" s="3">
        <v>0.4166666666666667</v>
      </c>
      <c r="F363" s="3">
        <v>0.44375</v>
      </c>
      <c r="G363" s="1">
        <v>1.28615761068E11</v>
      </c>
      <c r="H363" s="1" t="s">
        <v>232</v>
      </c>
      <c r="J363" s="1" t="s">
        <v>32</v>
      </c>
      <c r="K363" s="4">
        <f>+523335782664</f>
        <v>523335782664</v>
      </c>
      <c r="L363" s="1" t="s">
        <v>101</v>
      </c>
      <c r="M363" s="1" t="s">
        <v>59</v>
      </c>
      <c r="N363" s="1" t="s">
        <v>67</v>
      </c>
      <c r="P363" s="1">
        <v>0.0</v>
      </c>
      <c r="Q363" s="1">
        <v>0.0</v>
      </c>
      <c r="R363" s="1" t="s">
        <v>45</v>
      </c>
      <c r="S363" s="1" t="s">
        <v>45</v>
      </c>
      <c r="U363" s="1" t="s">
        <v>55</v>
      </c>
      <c r="V363" s="1">
        <v>0.0</v>
      </c>
      <c r="W363" s="1">
        <v>39.0</v>
      </c>
      <c r="X363" s="1">
        <v>39.0</v>
      </c>
      <c r="Y363" s="1" t="s">
        <v>50</v>
      </c>
      <c r="AA363" s="1" t="s">
        <v>38</v>
      </c>
      <c r="AB363" s="1">
        <v>0.0</v>
      </c>
      <c r="AC363" s="1">
        <v>0.0</v>
      </c>
      <c r="AD363" s="1">
        <v>0.0</v>
      </c>
      <c r="AE363" s="6">
        <v>0.4166666666666667</v>
      </c>
      <c r="AF363" s="1" t="s">
        <v>39</v>
      </c>
    </row>
    <row r="364">
      <c r="B364" s="2"/>
      <c r="C364" s="3"/>
      <c r="D364" s="3"/>
      <c r="E364" s="3"/>
      <c r="F364" s="3"/>
      <c r="P364" s="5"/>
      <c r="AE364" s="6"/>
    </row>
    <row r="365">
      <c r="B365" s="2"/>
      <c r="C365" s="3"/>
      <c r="D365" s="3"/>
      <c r="E365" s="3"/>
      <c r="F365" s="3"/>
      <c r="P365" s="5"/>
      <c r="AE365" s="6"/>
    </row>
    <row r="366">
      <c r="B366" s="2"/>
      <c r="C366" s="3"/>
      <c r="D366" s="3"/>
      <c r="E366" s="3"/>
      <c r="F366" s="3"/>
      <c r="AE366" s="6"/>
    </row>
    <row r="367">
      <c r="B367" s="2"/>
      <c r="C367" s="3"/>
      <c r="D367" s="3"/>
      <c r="E367" s="3"/>
      <c r="F367" s="3"/>
      <c r="AE367" s="6"/>
    </row>
    <row r="368">
      <c r="B368" s="2"/>
      <c r="C368" s="3"/>
      <c r="D368" s="3"/>
      <c r="E368" s="3"/>
      <c r="F368" s="3"/>
      <c r="AE368" s="6"/>
    </row>
    <row r="369">
      <c r="B369" s="2"/>
      <c r="C369" s="3"/>
      <c r="D369" s="3"/>
      <c r="E369" s="3"/>
      <c r="F369" s="3"/>
      <c r="AE369" s="6"/>
    </row>
    <row r="370">
      <c r="B370" s="2"/>
      <c r="C370" s="3"/>
      <c r="D370" s="3"/>
      <c r="E370" s="3"/>
      <c r="F370" s="3"/>
      <c r="AE370" s="6"/>
    </row>
    <row r="371">
      <c r="B371" s="2"/>
      <c r="C371" s="3"/>
      <c r="D371" s="3"/>
      <c r="E371" s="3"/>
      <c r="F371" s="3"/>
      <c r="P371" s="5"/>
      <c r="AE371" s="6"/>
    </row>
    <row r="372">
      <c r="B372" s="2"/>
      <c r="C372" s="3"/>
      <c r="D372" s="3"/>
      <c r="E372" s="3"/>
      <c r="F372" s="3"/>
      <c r="P372" s="5"/>
      <c r="AE372" s="6"/>
    </row>
    <row r="373">
      <c r="B373" s="2"/>
      <c r="C373" s="3"/>
      <c r="D373" s="3"/>
      <c r="E373" s="3"/>
      <c r="F373" s="3"/>
      <c r="P373" s="5"/>
      <c r="AE373" s="6"/>
    </row>
    <row r="374">
      <c r="B374" s="2"/>
      <c r="C374" s="3"/>
      <c r="D374" s="3"/>
      <c r="E374" s="3"/>
      <c r="F374" s="3"/>
      <c r="AE374" s="6"/>
    </row>
    <row r="375">
      <c r="B375" s="2"/>
      <c r="C375" s="3"/>
      <c r="D375" s="3"/>
      <c r="E375" s="3"/>
      <c r="F375" s="3"/>
      <c r="AE375" s="6"/>
    </row>
    <row r="376">
      <c r="B376" s="2"/>
      <c r="C376" s="3"/>
      <c r="D376" s="3"/>
      <c r="E376" s="3"/>
      <c r="F376" s="3"/>
      <c r="AE376" s="6"/>
    </row>
    <row r="377">
      <c r="B377" s="2"/>
      <c r="C377" s="3"/>
      <c r="D377" s="3"/>
      <c r="E377" s="3"/>
      <c r="F377" s="3"/>
      <c r="AE377" s="6"/>
    </row>
    <row r="378">
      <c r="B378" s="2"/>
      <c r="C378" s="3"/>
      <c r="D378" s="3"/>
      <c r="E378" s="3"/>
      <c r="F378" s="3"/>
      <c r="AE378" s="6"/>
    </row>
    <row r="379">
      <c r="B379" s="2"/>
      <c r="C379" s="3"/>
      <c r="D379" s="3"/>
      <c r="E379" s="3"/>
      <c r="F379" s="3"/>
      <c r="P379" s="5"/>
      <c r="AE379" s="6"/>
    </row>
    <row r="380">
      <c r="B380" s="2"/>
      <c r="C380" s="3"/>
      <c r="D380" s="3"/>
      <c r="E380" s="3"/>
      <c r="F380" s="3"/>
      <c r="AE380" s="6"/>
    </row>
    <row r="381">
      <c r="B381" s="2"/>
      <c r="C381" s="3"/>
      <c r="D381" s="3"/>
      <c r="E381" s="3"/>
      <c r="F381" s="3"/>
      <c r="P381" s="5"/>
      <c r="AE381" s="6"/>
    </row>
    <row r="382">
      <c r="B382" s="2"/>
      <c r="C382" s="3"/>
      <c r="D382" s="3"/>
      <c r="E382" s="3"/>
      <c r="F382" s="3"/>
      <c r="AE382" s="6"/>
    </row>
    <row r="383">
      <c r="B383" s="2"/>
      <c r="C383" s="3"/>
      <c r="D383" s="3"/>
      <c r="E383" s="3"/>
      <c r="F383" s="3"/>
      <c r="AE383" s="6"/>
    </row>
    <row r="384">
      <c r="B384" s="2"/>
      <c r="C384" s="3"/>
      <c r="D384" s="3"/>
      <c r="E384" s="3"/>
      <c r="F384" s="3"/>
      <c r="AE384" s="6"/>
    </row>
    <row r="385">
      <c r="B385" s="2"/>
      <c r="C385" s="3"/>
      <c r="D385" s="3"/>
      <c r="E385" s="3"/>
      <c r="F385" s="3"/>
      <c r="P385" s="5"/>
      <c r="AE385" s="6"/>
    </row>
    <row r="386">
      <c r="B386" s="2"/>
      <c r="C386" s="3"/>
      <c r="D386" s="3"/>
      <c r="E386" s="3"/>
      <c r="F386" s="3"/>
      <c r="P386" s="5"/>
      <c r="AE386" s="6"/>
    </row>
    <row r="387">
      <c r="B387" s="2"/>
      <c r="C387" s="3"/>
      <c r="D387" s="3"/>
      <c r="E387" s="3"/>
      <c r="F387" s="3"/>
      <c r="P387" s="5"/>
      <c r="AE387" s="6"/>
    </row>
    <row r="388">
      <c r="B388" s="2"/>
      <c r="C388" s="3"/>
      <c r="D388" s="3"/>
      <c r="E388" s="3"/>
      <c r="F388" s="3"/>
      <c r="AE388" s="6"/>
    </row>
    <row r="389">
      <c r="B389" s="2"/>
      <c r="C389" s="3"/>
      <c r="D389" s="3"/>
      <c r="E389" s="3"/>
      <c r="F389" s="3"/>
      <c r="AE389" s="6"/>
    </row>
    <row r="390">
      <c r="B390" s="2"/>
      <c r="C390" s="3"/>
      <c r="D390" s="3"/>
      <c r="E390" s="3"/>
      <c r="F390" s="3"/>
      <c r="P390" s="5"/>
      <c r="AE390" s="6"/>
    </row>
    <row r="391">
      <c r="B391" s="2"/>
      <c r="C391" s="3"/>
      <c r="D391" s="3"/>
      <c r="E391" s="3"/>
      <c r="F391" s="3"/>
      <c r="P391" s="5"/>
      <c r="AE391" s="6"/>
    </row>
    <row r="392">
      <c r="B392" s="2"/>
      <c r="C392" s="3"/>
      <c r="D392" s="3"/>
      <c r="E392" s="3"/>
      <c r="F392" s="3"/>
      <c r="P392" s="5"/>
      <c r="AE392" s="6"/>
    </row>
    <row r="393">
      <c r="B393" s="2"/>
      <c r="C393" s="3"/>
      <c r="D393" s="3"/>
      <c r="E393" s="3"/>
      <c r="F393" s="3"/>
      <c r="AE393" s="6"/>
    </row>
    <row r="394">
      <c r="B394" s="2"/>
      <c r="C394" s="3"/>
      <c r="D394" s="3"/>
      <c r="E394" s="3"/>
      <c r="F394" s="3"/>
      <c r="P394" s="5"/>
      <c r="AE394" s="6"/>
    </row>
    <row r="395">
      <c r="B395" s="2"/>
      <c r="C395" s="3"/>
      <c r="D395" s="3"/>
      <c r="E395" s="3"/>
      <c r="F395" s="3"/>
      <c r="P395" s="5"/>
      <c r="AE395" s="6"/>
    </row>
    <row r="396">
      <c r="B396" s="2"/>
      <c r="C396" s="3"/>
      <c r="D396" s="3"/>
      <c r="E396" s="3"/>
      <c r="F396" s="3"/>
      <c r="AE396" s="6"/>
    </row>
    <row r="397">
      <c r="B397" s="2"/>
      <c r="C397" s="3"/>
      <c r="D397" s="3"/>
      <c r="E397" s="3"/>
      <c r="F397" s="3"/>
      <c r="P397" s="5"/>
      <c r="AE397" s="6"/>
    </row>
    <row r="398">
      <c r="B398" s="2"/>
      <c r="C398" s="3"/>
      <c r="D398" s="3"/>
      <c r="E398" s="3"/>
      <c r="F398" s="3"/>
      <c r="G398" s="7"/>
      <c r="AE398" s="6"/>
    </row>
    <row r="399">
      <c r="B399" s="2"/>
      <c r="C399" s="3"/>
      <c r="D399" s="3"/>
      <c r="E399" s="3"/>
      <c r="F399" s="3"/>
      <c r="AE399" s="6"/>
    </row>
    <row r="400">
      <c r="B400" s="2"/>
      <c r="C400" s="3"/>
      <c r="D400" s="3"/>
      <c r="E400" s="3"/>
      <c r="F400" s="3"/>
      <c r="AE400" s="6"/>
    </row>
    <row r="401">
      <c r="B401" s="2"/>
      <c r="C401" s="3"/>
      <c r="D401" s="3"/>
      <c r="E401" s="3"/>
      <c r="F401" s="3"/>
      <c r="AE401" s="6"/>
    </row>
    <row r="402">
      <c r="B402" s="2"/>
      <c r="C402" s="3"/>
      <c r="D402" s="3"/>
      <c r="E402" s="3"/>
      <c r="F402" s="3"/>
      <c r="G402" s="7"/>
      <c r="AE402" s="6"/>
    </row>
    <row r="403">
      <c r="B403" s="2"/>
      <c r="C403" s="3"/>
      <c r="D403" s="3"/>
      <c r="E403" s="3"/>
      <c r="F403" s="3"/>
      <c r="AE403" s="6"/>
    </row>
    <row r="404">
      <c r="B404" s="2"/>
      <c r="C404" s="3"/>
      <c r="D404" s="3"/>
      <c r="E404" s="3"/>
      <c r="F404" s="3"/>
      <c r="P404" s="5"/>
      <c r="AE404" s="6"/>
    </row>
    <row r="405">
      <c r="B405" s="2"/>
      <c r="C405" s="3"/>
      <c r="D405" s="3"/>
      <c r="E405" s="3"/>
      <c r="F405" s="3"/>
      <c r="AE405" s="6"/>
    </row>
    <row r="406">
      <c r="B406" s="2"/>
      <c r="C406" s="3"/>
      <c r="D406" s="3"/>
      <c r="E406" s="3"/>
      <c r="F406" s="3"/>
      <c r="AE406" s="6"/>
    </row>
    <row r="407">
      <c r="B407" s="2"/>
      <c r="C407" s="3"/>
      <c r="D407" s="3"/>
      <c r="E407" s="3"/>
      <c r="F407" s="3"/>
      <c r="AE407" s="6"/>
    </row>
    <row r="408">
      <c r="B408" s="2"/>
      <c r="C408" s="3"/>
      <c r="D408" s="3"/>
      <c r="E408" s="3"/>
      <c r="F408" s="3"/>
      <c r="AE408" s="6"/>
    </row>
    <row r="409">
      <c r="B409" s="2"/>
      <c r="C409" s="3"/>
      <c r="D409" s="3"/>
      <c r="E409" s="3"/>
      <c r="F409" s="3"/>
      <c r="AE409" s="6"/>
    </row>
    <row r="410">
      <c r="B410" s="2"/>
      <c r="C410" s="3"/>
      <c r="D410" s="3"/>
      <c r="E410" s="3"/>
      <c r="F410" s="3"/>
      <c r="AE410" s="6"/>
    </row>
    <row r="411">
      <c r="B411" s="2"/>
      <c r="C411" s="3"/>
      <c r="D411" s="3"/>
      <c r="E411" s="3"/>
      <c r="F411" s="3"/>
      <c r="P411" s="5"/>
      <c r="AE411" s="6"/>
    </row>
    <row r="412">
      <c r="B412" s="2"/>
      <c r="C412" s="3"/>
      <c r="D412" s="3"/>
      <c r="E412" s="3"/>
      <c r="F412" s="3"/>
      <c r="AE412" s="6"/>
    </row>
    <row r="413">
      <c r="B413" s="2"/>
      <c r="C413" s="3"/>
      <c r="D413" s="3"/>
      <c r="E413" s="3"/>
      <c r="F413" s="3"/>
      <c r="AE413" s="6"/>
    </row>
    <row r="414">
      <c r="B414" s="2"/>
      <c r="C414" s="3"/>
      <c r="D414" s="3"/>
      <c r="E414" s="3"/>
      <c r="F414" s="3"/>
      <c r="AE414" s="6"/>
    </row>
    <row r="415">
      <c r="B415" s="2"/>
      <c r="C415" s="3"/>
      <c r="D415" s="3"/>
      <c r="E415" s="3"/>
      <c r="F415" s="3"/>
      <c r="P415" s="5"/>
      <c r="AE415" s="6"/>
    </row>
    <row r="416">
      <c r="B416" s="2"/>
      <c r="C416" s="3"/>
      <c r="D416" s="3"/>
      <c r="E416" s="3"/>
      <c r="F416" s="3"/>
      <c r="AE416" s="6"/>
    </row>
    <row r="417">
      <c r="B417" s="2"/>
      <c r="C417" s="3"/>
      <c r="D417" s="3"/>
      <c r="E417" s="3"/>
      <c r="F417" s="3"/>
      <c r="AE417" s="6"/>
    </row>
    <row r="418">
      <c r="B418" s="2"/>
      <c r="C418" s="3"/>
      <c r="D418" s="3"/>
      <c r="E418" s="3"/>
      <c r="F418" s="3"/>
      <c r="P418" s="5"/>
      <c r="AE418" s="6"/>
    </row>
    <row r="419">
      <c r="B419" s="2"/>
      <c r="C419" s="3"/>
      <c r="D419" s="3"/>
      <c r="E419" s="3"/>
      <c r="F419" s="3"/>
      <c r="P419" s="5"/>
      <c r="AE419" s="6"/>
    </row>
    <row r="420">
      <c r="B420" s="2"/>
      <c r="C420" s="3"/>
      <c r="D420" s="3"/>
      <c r="E420" s="3"/>
      <c r="F420" s="3"/>
      <c r="AE420" s="6"/>
    </row>
    <row r="421">
      <c r="B421" s="2"/>
      <c r="C421" s="3"/>
      <c r="D421" s="3"/>
      <c r="E421" s="3"/>
      <c r="F421" s="3"/>
      <c r="P421" s="5"/>
      <c r="AE421" s="6"/>
    </row>
    <row r="422">
      <c r="B422" s="2"/>
      <c r="C422" s="3"/>
      <c r="D422" s="3"/>
      <c r="E422" s="3"/>
      <c r="F422" s="3"/>
      <c r="AE422" s="6"/>
    </row>
    <row r="423">
      <c r="B423" s="2"/>
      <c r="C423" s="3"/>
      <c r="D423" s="3"/>
      <c r="E423" s="3"/>
      <c r="F423" s="3"/>
      <c r="AE423" s="6"/>
    </row>
    <row r="424">
      <c r="B424" s="2"/>
      <c r="C424" s="3"/>
      <c r="D424" s="3"/>
      <c r="E424" s="3"/>
      <c r="F424" s="3"/>
      <c r="AE424" s="6"/>
    </row>
    <row r="425">
      <c r="B425" s="2"/>
      <c r="C425" s="3"/>
      <c r="D425" s="3"/>
      <c r="E425" s="3"/>
      <c r="F425" s="3"/>
      <c r="AE425" s="6"/>
    </row>
    <row r="426">
      <c r="B426" s="2"/>
      <c r="C426" s="3"/>
      <c r="D426" s="3"/>
      <c r="E426" s="3"/>
      <c r="F426" s="3"/>
      <c r="AE426" s="6"/>
    </row>
    <row r="427">
      <c r="B427" s="2"/>
      <c r="C427" s="3"/>
      <c r="D427" s="3"/>
      <c r="E427" s="3"/>
      <c r="F427" s="3"/>
      <c r="P427" s="5"/>
      <c r="AE427" s="6"/>
    </row>
    <row r="428">
      <c r="B428" s="2"/>
      <c r="C428" s="3"/>
      <c r="D428" s="3"/>
      <c r="E428" s="3"/>
      <c r="F428" s="3"/>
      <c r="P428" s="5"/>
      <c r="AE428" s="6"/>
    </row>
    <row r="429">
      <c r="B429" s="2"/>
      <c r="C429" s="3"/>
      <c r="D429" s="3"/>
      <c r="E429" s="3"/>
      <c r="F429" s="3"/>
      <c r="AE429" s="6"/>
    </row>
    <row r="430">
      <c r="B430" s="2"/>
      <c r="C430" s="3"/>
      <c r="D430" s="3"/>
      <c r="E430" s="3"/>
      <c r="F430" s="3"/>
      <c r="AE430" s="6"/>
    </row>
    <row r="431">
      <c r="B431" s="2"/>
      <c r="C431" s="3"/>
      <c r="D431" s="3"/>
      <c r="E431" s="3"/>
      <c r="F431" s="3"/>
      <c r="AE431" s="6"/>
    </row>
    <row r="432">
      <c r="B432" s="2"/>
      <c r="C432" s="3"/>
      <c r="D432" s="3"/>
      <c r="E432" s="3"/>
      <c r="F432" s="3"/>
      <c r="AE432" s="6"/>
    </row>
    <row r="433">
      <c r="B433" s="2"/>
      <c r="C433" s="3"/>
      <c r="D433" s="3"/>
      <c r="E433" s="3"/>
      <c r="F433" s="3"/>
      <c r="AE433" s="6"/>
    </row>
    <row r="434">
      <c r="B434" s="2"/>
      <c r="C434" s="3"/>
      <c r="D434" s="3"/>
      <c r="E434" s="3"/>
      <c r="F434" s="3"/>
      <c r="P434" s="5"/>
      <c r="AE434" s="6"/>
    </row>
    <row r="435">
      <c r="B435" s="2"/>
      <c r="C435" s="3"/>
      <c r="D435" s="3"/>
      <c r="E435" s="3"/>
      <c r="F435" s="3"/>
      <c r="AE435" s="6"/>
    </row>
    <row r="436">
      <c r="B436" s="2"/>
      <c r="C436" s="3"/>
      <c r="D436" s="3"/>
      <c r="E436" s="3"/>
      <c r="F436" s="3"/>
      <c r="AE436" s="6"/>
    </row>
    <row r="437">
      <c r="B437" s="2"/>
      <c r="C437" s="3"/>
      <c r="D437" s="3"/>
      <c r="E437" s="3"/>
      <c r="F437" s="3"/>
      <c r="AE437" s="6"/>
    </row>
    <row r="438">
      <c r="B438" s="2"/>
      <c r="C438" s="3"/>
      <c r="D438" s="3"/>
      <c r="E438" s="3"/>
      <c r="F438" s="3"/>
      <c r="AE438" s="6"/>
    </row>
    <row r="439">
      <c r="B439" s="2"/>
      <c r="C439" s="3"/>
      <c r="D439" s="3"/>
      <c r="E439" s="3"/>
      <c r="F439" s="3"/>
      <c r="P439" s="5"/>
      <c r="AE439" s="6"/>
    </row>
    <row r="440">
      <c r="B440" s="2"/>
      <c r="C440" s="3"/>
      <c r="D440" s="3"/>
      <c r="E440" s="3"/>
      <c r="F440" s="3"/>
      <c r="P440" s="5"/>
      <c r="AE440" s="6"/>
    </row>
    <row r="441">
      <c r="B441" s="2"/>
      <c r="C441" s="3"/>
      <c r="D441" s="3"/>
      <c r="E441" s="3"/>
      <c r="F441" s="3"/>
      <c r="AE441" s="6"/>
    </row>
    <row r="442">
      <c r="B442" s="2"/>
      <c r="C442" s="3"/>
      <c r="D442" s="3"/>
      <c r="E442" s="3"/>
      <c r="F442" s="3"/>
      <c r="AE442" s="6"/>
    </row>
    <row r="443">
      <c r="B443" s="2"/>
      <c r="C443" s="3"/>
      <c r="D443" s="3"/>
      <c r="E443" s="3"/>
      <c r="F443" s="3"/>
      <c r="P443" s="5"/>
      <c r="AE443" s="6"/>
    </row>
    <row r="444">
      <c r="B444" s="2"/>
      <c r="C444" s="3"/>
      <c r="D444" s="3"/>
      <c r="E444" s="3"/>
      <c r="F444" s="3"/>
      <c r="AE444" s="6"/>
    </row>
    <row r="445">
      <c r="B445" s="2"/>
      <c r="C445" s="3"/>
      <c r="D445" s="3"/>
      <c r="E445" s="3"/>
      <c r="F445" s="3"/>
      <c r="P445" s="5"/>
      <c r="AE445" s="6"/>
    </row>
    <row r="446">
      <c r="B446" s="2"/>
      <c r="C446" s="3"/>
      <c r="D446" s="3"/>
      <c r="E446" s="3"/>
      <c r="F446" s="3"/>
      <c r="P446" s="5"/>
      <c r="AE446" s="6"/>
    </row>
    <row r="447">
      <c r="B447" s="2"/>
      <c r="C447" s="3"/>
      <c r="D447" s="3"/>
      <c r="E447" s="3"/>
      <c r="F447" s="3"/>
      <c r="AE447" s="6"/>
    </row>
    <row r="448">
      <c r="B448" s="2"/>
      <c r="C448" s="3"/>
      <c r="D448" s="3"/>
      <c r="E448" s="3"/>
      <c r="F448" s="3"/>
      <c r="P448" s="5"/>
      <c r="AE448" s="6"/>
    </row>
  </sheetData>
  <drawing r:id="rId1"/>
</worksheet>
</file>